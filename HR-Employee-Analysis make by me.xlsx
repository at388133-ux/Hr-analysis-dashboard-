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ml.chartshapes+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2.xml" ContentType="application/vnd.openxmlformats-officedocument.drawingml.chartshapes+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Ex5.xml" ContentType="application/vnd.ms-office.chartex+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charts/chartEx6.xml" ContentType="application/vnd.ms-office.chartex+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C:\Users\atult\Downloads\"/>
    </mc:Choice>
  </mc:AlternateContent>
  <xr:revisionPtr revIDLastSave="0" documentId="8_{0B8162B6-2E39-4363-A48E-DB551BF36244}" xr6:coauthVersionLast="47" xr6:coauthVersionMax="47" xr10:uidLastSave="{00000000-0000-0000-0000-000000000000}"/>
  <bookViews>
    <workbookView xWindow="-108" yWindow="-108" windowWidth="23256" windowHeight="12456" xr2:uid="{5AF5D4AF-D10E-435D-ABA8-B0D0494ED23E}"/>
  </bookViews>
  <sheets>
    <sheet name="Sheet1" sheetId="17" r:id="rId1"/>
    <sheet name="Data" sheetId="1" r:id="rId2"/>
    <sheet name="KPI" sheetId="7" r:id="rId3"/>
    <sheet name="Rating" sheetId="9" r:id="rId4"/>
    <sheet name="Employee by Gender" sheetId="10" r:id="rId5"/>
    <sheet name="Education-wise Attrition" sheetId="12" r:id="rId6"/>
    <sheet name="Attrition By Job Role" sheetId="13" r:id="rId7"/>
    <sheet name="Department-wise Attrition" sheetId="14" r:id="rId8"/>
    <sheet name="Attrition By Age-Group" sheetId="15" r:id="rId9"/>
    <sheet name="Attrition By Marriage Status" sheetId="16" r:id="rId10"/>
    <sheet name="Dashboard" sheetId="8" r:id="rId11"/>
    <sheet name="Images" sheetId="2" r:id="rId12"/>
    <sheet name="Background 1" sheetId="3" r:id="rId13"/>
    <sheet name="Background 2" sheetId="4" r:id="rId14"/>
    <sheet name="Background 3" sheetId="5" r:id="rId15"/>
    <sheet name="Background 4" sheetId="6" r:id="rId16"/>
  </sheets>
  <definedNames>
    <definedName name="_xlchart.v1.10" hidden="1">'Attrition By Job Role'!$E$4:$E$12</definedName>
    <definedName name="_xlchart.v1.11" hidden="1">'Attrition By Job Role'!$F$3</definedName>
    <definedName name="_xlchart.v1.12" hidden="1">'Attrition By Job Role'!$F$4:$F$12</definedName>
    <definedName name="_xlchart.v1.2" hidden="1">'Attrition By Job Role'!$E$4:$E$12</definedName>
    <definedName name="_xlchart.v1.3" hidden="1">'Attrition By Job Role'!$F$3</definedName>
    <definedName name="_xlchart.v1.4" hidden="1">'Attrition By Job Role'!$F$4:$F$12</definedName>
    <definedName name="_xlchart.v1.5" hidden="1">'Attrition By Job Role'!$E$4:$E$12</definedName>
    <definedName name="_xlchart.v1.6" hidden="1">'Attrition By Job Role'!$F$3</definedName>
    <definedName name="_xlchart.v1.7" hidden="1">'Attrition By Job Role'!$F$4:$F$12</definedName>
    <definedName name="_xlchart.v2.0" hidden="1">'Attrition By Marriage Status'!$D$4:$D$6</definedName>
    <definedName name="_xlchart.v2.1" hidden="1">'Attrition By Marriage Status'!$E$4:$E$6</definedName>
    <definedName name="_xlchart.v2.13" hidden="1">'Attrition By Marriage Status'!$D$4:$D$6</definedName>
    <definedName name="_xlchart.v2.14" hidden="1">'Attrition By Marriage Status'!$E$4:$E$6</definedName>
    <definedName name="_xlchart.v2.8" hidden="1">'Attrition By Marriage Status'!$D$4:$D$6</definedName>
    <definedName name="_xlchart.v2.9" hidden="1">'Attrition By Marriage Status'!$E$4:$E$6</definedName>
    <definedName name="_xlnm.Print_Area" localSheetId="0">Sheet1!$W$8</definedName>
    <definedName name="Slicer_Department">#N/A</definedName>
    <definedName name="Slicer_Education">#N/A</definedName>
    <definedName name="Slicer_Education_Field2">#N/A</definedName>
    <definedName name="Slicer_Gender2">#N/A</definedName>
    <definedName name="Slicer_Marital_Status">#N/A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6" l="1"/>
  <c r="D6" i="16"/>
  <c r="D4" i="16"/>
  <c r="D5" i="14"/>
  <c r="D6" i="14"/>
  <c r="D4" i="14"/>
  <c r="E5" i="13"/>
  <c r="E6" i="13"/>
  <c r="E7" i="13"/>
  <c r="E8" i="13"/>
  <c r="E9" i="13"/>
  <c r="E10" i="13"/>
  <c r="E11" i="13"/>
  <c r="E12" i="13"/>
  <c r="E4" i="13"/>
  <c r="E6" i="14"/>
  <c r="F6" i="13"/>
  <c r="B7" i="7"/>
  <c r="F9" i="13"/>
  <c r="F8" i="13"/>
  <c r="D7" i="7"/>
  <c r="F11" i="13"/>
  <c r="E5" i="16"/>
  <c r="A7" i="7"/>
  <c r="F4" i="13"/>
  <c r="B6" i="9"/>
  <c r="F5" i="13"/>
  <c r="E5" i="14"/>
  <c r="E4" i="14"/>
  <c r="E4" i="16"/>
  <c r="F12" i="13"/>
  <c r="E6" i="16"/>
  <c r="F7" i="13"/>
  <c r="C7" i="7"/>
  <c r="F10" i="13"/>
  <c r="B11" i="10"/>
  <c r="B12" i="10"/>
  <c r="E7" i="7"/>
  <c r="C11" i="10" l="1"/>
  <c r="C12" i="10"/>
  <c r="C6" i="9"/>
  <c r="B7" i="9"/>
  <c r="C7" i="9" s="1"/>
  <c r="F5" i="14"/>
  <c r="F4" i="14"/>
  <c r="F6" i="14"/>
</calcChain>
</file>

<file path=xl/sharedStrings.xml><?xml version="1.0" encoding="utf-8"?>
<sst xmlns="http://schemas.openxmlformats.org/spreadsheetml/2006/main" count="19219" uniqueCount="1569">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</sst>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cellXfs>
  <cellStyles count="2">
    <cellStyle name="Normal" xfId="0" builtinId="0"/>
    <cellStyle name="Percent" xfId="1" builtinId="5"/>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25984251968505"/>
          <c:y val="0.16486147564887724"/>
          <c:w val="0.55007249093863264"/>
          <c:h val="0.63469902800611466"/>
        </c:manualLayout>
      </c:layout>
      <c:doughnutChart>
        <c:varyColors val="1"/>
        <c:ser>
          <c:idx val="0"/>
          <c:order val="0"/>
          <c:dPt>
            <c:idx val="0"/>
            <c:bubble3D val="0"/>
            <c:spPr>
              <a:solidFill>
                <a:prstClr val="black"/>
              </a:solidFill>
              <a:ln w="19050">
                <a:solidFill>
                  <a:prstClr val="black"/>
                </a:solidFill>
              </a:ln>
              <a:effectLst/>
            </c:spPr>
            <c:extLst>
              <c:ext xmlns:c16="http://schemas.microsoft.com/office/drawing/2014/chart" uri="{C3380CC4-5D6E-409C-BE32-E72D297353CC}">
                <c16:uniqueId val="{00000001-ADBB-4A2B-ACE8-56E9E2B2BFDB}"/>
              </c:ext>
            </c:extLst>
          </c:dPt>
          <c:dPt>
            <c:idx val="1"/>
            <c:bubble3D val="0"/>
            <c:spPr>
              <a:solidFill>
                <a:prstClr val="white"/>
              </a:solidFill>
              <a:ln w="19050">
                <a:solidFill>
                  <a:prstClr val="black"/>
                </a:solidFill>
              </a:ln>
              <a:effectLst/>
            </c:spPr>
            <c:extLst>
              <c:ext xmlns:c16="http://schemas.microsoft.com/office/drawing/2014/chart" uri="{C3380CC4-5D6E-409C-BE32-E72D297353CC}">
                <c16:uniqueId val="{00000003-ADBB-4A2B-ACE8-56E9E2B2BFDB}"/>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ADBB-4A2B-ACE8-56E9E2B2BFD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5609814124111679"/>
          <c:y val="1.2626262626262626E-2"/>
          <c:w val="0.67182130584192445"/>
          <c:h val="0.98737373737373735"/>
        </c:manualLayout>
      </c:layout>
      <c:doughnutChart>
        <c:varyColors val="1"/>
        <c:ser>
          <c:idx val="0"/>
          <c:order val="0"/>
          <c:dPt>
            <c:idx val="0"/>
            <c:bubble3D val="0"/>
            <c:spPr>
              <a:solidFill>
                <a:schemeClr val="accent6">
                  <a:shade val="76000"/>
                </a:schemeClr>
              </a:solidFill>
              <a:ln>
                <a:solidFill>
                  <a:prstClr val="black"/>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DB-4F16-B997-1C20F77915E8}"/>
              </c:ext>
            </c:extLst>
          </c:dPt>
          <c:dPt>
            <c:idx val="1"/>
            <c:bubble3D val="0"/>
            <c:explosion val="13"/>
            <c:spPr>
              <a:solidFill>
                <a:schemeClr val="accent6">
                  <a:tint val="77000"/>
                </a:schemeClr>
              </a:solidFill>
              <a:ln>
                <a:solidFill>
                  <a:prstClr val="black"/>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DB-4F16-B997-1C20F77915E8}"/>
              </c:ext>
            </c:extLst>
          </c:dPt>
          <c:dLbls>
            <c:spPr>
              <a:solidFill>
                <a:prstClr val="black"/>
              </a:solidFill>
              <a:ln>
                <a:solidFill>
                  <a:prstClr val="black"/>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8EDB-4F16-B997-1C20F77915E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779230721159848"/>
          <c:y val="0.36937674457359498"/>
          <c:w val="0.20284261342332208"/>
          <c:h val="0.44643169603799532"/>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9276857634176E-2"/>
          <c:y val="1.0773458005249344E-2"/>
          <c:w val="0.86373835623488238"/>
          <c:h val="1"/>
        </c:manualLayout>
      </c:layout>
      <c:doughnutChart>
        <c:varyColors val="1"/>
        <c:ser>
          <c:idx val="0"/>
          <c:order val="0"/>
          <c:dPt>
            <c:idx val="0"/>
            <c:bubble3D val="0"/>
            <c:spPr>
              <a:solidFill>
                <a:prstClr val="black"/>
              </a:solidFill>
              <a:ln>
                <a:solidFill>
                  <a:prstClr val="black"/>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E44-49FC-A080-8817D34C47BC}"/>
              </c:ext>
            </c:extLst>
          </c:dPt>
          <c:dPt>
            <c:idx val="1"/>
            <c:bubble3D val="0"/>
            <c:spPr>
              <a:solidFill>
                <a:prstClr val="white"/>
              </a:solidFill>
              <a:ln>
                <a:solidFill>
                  <a:prstClr val="black"/>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E44-49FC-A080-8817D34C47BC}"/>
              </c:ext>
            </c:extLst>
          </c:dPt>
          <c:dLbls>
            <c:spPr>
              <a:solidFill>
                <a:prstClr val="black"/>
              </a:solidFill>
              <a:ln>
                <a:solidFill>
                  <a:schemeClr val="accent3">
                    <a:lumMod val="7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CE44-49FC-A080-8817D34C47BC}"/>
            </c:ext>
          </c:extLst>
        </c:ser>
        <c:dLbls>
          <c:showLegendKey val="0"/>
          <c:showVal val="0"/>
          <c:showCatName val="1"/>
          <c:showSerName val="0"/>
          <c:showPercent val="1"/>
          <c:showBubbleSize val="0"/>
          <c:showLeaderLines val="1"/>
        </c:dLbls>
        <c:firstSliceAng val="0"/>
        <c:holeSize val="50"/>
      </c:doughnutChart>
      <c:spPr>
        <a:solidFill>
          <a:schemeClr val="bg2">
            <a:lumMod val="90000"/>
          </a:schemeClr>
        </a:solidFill>
        <a:ln>
          <a:noFill/>
        </a:ln>
        <a:effectLst/>
      </c:spPr>
    </c:plotArea>
    <c:legend>
      <c:legendPos val="t"/>
      <c:layout>
        <c:manualLayout>
          <c:xMode val="edge"/>
          <c:yMode val="edge"/>
          <c:x val="0.31019884381540908"/>
          <c:y val="0.12753718285214349"/>
          <c:w val="0.4217962718163879"/>
          <c:h val="0.20988952873428138"/>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me.xlsx]Education-wise Attrition!Education-wise Attrition</c:name>
    <c:fmtId val="5"/>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solidFill>
                <a:prstClr val="black"/>
              </a:solidFill>
            </a:ln>
            <a:effectLst/>
          </c:spPr>
          <c:invertIfNegative val="0"/>
          <c:dLbls>
            <c:spPr>
              <a:solidFill>
                <a:prstClr val="black"/>
              </a:solidFill>
              <a:ln>
                <a:solidFill>
                  <a:prstClr val="black"/>
                </a:solid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873-4E6D-94CD-261FB2CA11E4}"/>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solidFill>
            <a:schemeClr val="accent1">
              <a:lumMod val="40000"/>
              <a:lumOff val="6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prstClr val="black"/>
              </a:solidFill>
              <a:ln w="19050">
                <a:noFill/>
              </a:ln>
              <a:effectLst/>
            </c:spPr>
            <c:extLst>
              <c:ext xmlns:c16="http://schemas.microsoft.com/office/drawing/2014/chart" uri="{C3380CC4-5D6E-409C-BE32-E72D297353CC}">
                <c16:uniqueId val="{00000001-AC93-4888-B905-61C0C0BBE1D6}"/>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AC93-4888-B905-61C0C0BBE1D6}"/>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AC93-4888-B905-61C0C0BBE1D6}"/>
              </c:ext>
            </c:extLst>
          </c:dPt>
          <c:dLbls>
            <c:dLbl>
              <c:idx val="0"/>
              <c:tx>
                <c:rich>
                  <a:bodyPr/>
                  <a:lstStyle/>
                  <a:p>
                    <a:fld id="{8BAF5AE3-3913-4049-B718-68565CF1C866}" type="CELLRANGE">
                      <a:rPr lang="en-US"/>
                      <a:pPr/>
                      <a:t>[CELLRANGE]</a:t>
                    </a:fld>
                    <a:r>
                      <a:rPr lang="en-US" baseline="0"/>
                      <a:t>, </a:t>
                    </a:r>
                    <a:fld id="{B9B30763-5284-46E8-A3DB-E400FD422E8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C93-4888-B905-61C0C0BBE1D6}"/>
                </c:ext>
              </c:extLst>
            </c:dLbl>
            <c:dLbl>
              <c:idx val="1"/>
              <c:tx>
                <c:rich>
                  <a:bodyPr/>
                  <a:lstStyle/>
                  <a:p>
                    <a:fld id="{1DBE8DB8-6BD0-400D-8AFE-2816B2152B9B}" type="CELLRANGE">
                      <a:rPr lang="en-US"/>
                      <a:pPr/>
                      <a:t>[CELLRANGE]</a:t>
                    </a:fld>
                    <a:r>
                      <a:rPr lang="en-US" baseline="0"/>
                      <a:t>, </a:t>
                    </a:r>
                    <a:fld id="{9895E3A1-1437-4803-AF84-36256343736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C93-4888-B905-61C0C0BBE1D6}"/>
                </c:ext>
              </c:extLst>
            </c:dLbl>
            <c:dLbl>
              <c:idx val="2"/>
              <c:tx>
                <c:rich>
                  <a:bodyPr/>
                  <a:lstStyle/>
                  <a:p>
                    <a:fld id="{A500EA9B-1EEF-42A0-9FF6-3FA5A3B2B2A1}" type="CELLRANGE">
                      <a:rPr lang="en-US"/>
                      <a:pPr/>
                      <a:t>[CELLRANGE]</a:t>
                    </a:fld>
                    <a:r>
                      <a:rPr lang="en-US" baseline="0"/>
                      <a:t>, </a:t>
                    </a:r>
                    <a:fld id="{9A4498C1-FF26-4C3F-9969-01F3BB3E8B5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C93-4888-B905-61C0C0BBE1D6}"/>
                </c:ext>
              </c:extLst>
            </c:dLbl>
            <c:spPr>
              <a:solidFill>
                <a:prstClr val="black"/>
              </a:solidFill>
              <a:ln>
                <a:solidFill>
                  <a:prstClr val="black"/>
                </a:solid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AC93-4888-B905-61C0C0BBE1D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me.xlsx]Attrition By Age-Group!Attrition By Age-Group</c:name>
    <c:fmtId val="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2354999742679226E-4"/>
          <c:w val="0.99409213271417995"/>
          <c:h val="0.85609798775153101"/>
        </c:manualLayout>
      </c:layout>
      <c:barChart>
        <c:barDir val="col"/>
        <c:grouping val="stacked"/>
        <c:varyColors val="0"/>
        <c:ser>
          <c:idx val="0"/>
          <c:order val="0"/>
          <c:tx>
            <c:strRef>
              <c:f>'Attrition By Age-Group'!$B$3</c:f>
              <c:strCache>
                <c:ptCount val="1"/>
                <c:pt idx="0">
                  <c:v>Total</c:v>
                </c:pt>
              </c:strCache>
            </c:strRef>
          </c:tx>
          <c:spPr>
            <a:solidFill>
              <a:prstClr val="black"/>
            </a:solidFill>
            <a:ln>
              <a:solidFill>
                <a:prstClr val="black"/>
              </a:solidFill>
            </a:ln>
            <a:effectLst/>
          </c:spPr>
          <c:invertIfNegative val="0"/>
          <c:dLbls>
            <c:spPr>
              <a:solidFill>
                <a:prstClr val="black"/>
              </a:solidFill>
              <a:ln>
                <a:solidFill>
                  <a:prstClr val="black"/>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1F4B-47E3-833C-20EF6528C850}"/>
            </c:ext>
          </c:extLst>
        </c:ser>
        <c:dLbls>
          <c:dLblPos val="ctr"/>
          <c:showLegendKey val="0"/>
          <c:showVal val="1"/>
          <c:showCatName val="0"/>
          <c:showSerName val="0"/>
          <c:showPercent val="0"/>
          <c:showBubbleSize val="0"/>
        </c:dLbls>
        <c:gapWidth val="79"/>
        <c:overlap val="100"/>
        <c:axId val="1694148112"/>
        <c:axId val="1666484432"/>
      </c:barChart>
      <c:catAx>
        <c:axId val="1694148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solidFill>
          <a:schemeClr val="tx2"/>
        </a:solidFill>
        <a:ln>
          <a:solidFill>
            <a:schemeClr val="accent3">
              <a:lumMod val="20000"/>
              <a:lumOff val="8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c:spPr>
          <c:dPt>
            <c:idx val="0"/>
            <c:bubble3D val="0"/>
            <c:spPr>
              <a:solidFill>
                <a:schemeClr val="accent1"/>
              </a:solidFill>
              <a:ln w="19050">
                <a:noFill/>
              </a:ln>
              <a:effectLst/>
            </c:spPr>
            <c:extLst>
              <c:ext xmlns:c16="http://schemas.microsoft.com/office/drawing/2014/chart" uri="{C3380CC4-5D6E-409C-BE32-E72D297353CC}">
                <c16:uniqueId val="{00000002-F486-544C-9DC9-6F287EEE2158}"/>
              </c:ext>
            </c:extLst>
          </c:dPt>
          <c:dPt>
            <c:idx val="1"/>
            <c:bubble3D val="0"/>
            <c:spPr>
              <a:solidFill>
                <a:srgbClr val="FFC000"/>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FD7035EC-CEB4-411B-819E-D819D3A47F33}" type="CELLRANGE">
                      <a:rPr lang="en-IN"/>
                      <a:pPr/>
                      <a:t>[CELLRANGE]</a:t>
                    </a:fld>
                    <a:r>
                      <a:rPr lang="en-IN" baseline="0"/>
                      <a:t>, </a:t>
                    </a:r>
                    <a:fld id="{F96E38DD-DA29-4E29-BBD2-1767C58BBF73}"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5348350C-3AE2-4238-9310-691DF6918AE0}" type="CELLRANGE">
                      <a:rPr lang="en-IN"/>
                      <a:pPr/>
                      <a:t>[CELLRANGE]</a:t>
                    </a:fld>
                    <a:r>
                      <a:rPr lang="en-IN" baseline="0"/>
                      <a:t>, </a:t>
                    </a:r>
                    <a:fld id="{91DB7B62-590B-4316-86F3-6AEAC267BAD1}"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E6D2B0F6-9E75-4AD1-ACDC-07DEA6FFDC79}" type="CELLRANGE">
                      <a:rPr lang="en-IN"/>
                      <a:pPr/>
                      <a:t>[CELLRANGE]</a:t>
                    </a:fld>
                    <a:r>
                      <a:rPr lang="en-IN" baseline="0"/>
                      <a:t>, </a:t>
                    </a:r>
                    <a:fld id="{F0CA39D4-1B22-4012-9506-6BF7D5180613}"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shape val="box"/>
        <c:axId val="1694148112"/>
        <c:axId val="1666484432"/>
        <c:axId val="0"/>
      </c:bar3D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solidFill>
          <a:schemeClr val="tx2">
            <a:lumMod val="20000"/>
            <a:lumOff val="80000"/>
          </a:schemeClr>
        </a:solidFill>
        <a:ln>
          <a:solidFill>
            <a:srgbClr val="C0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9E1A07C0-A409-4B1F-BE59-49C1992AB81A}" type="CELLRANGE">
                      <a:rPr lang="en-IN"/>
                      <a:pPr/>
                      <a:t>[CELLRANGE]</a:t>
                    </a:fld>
                    <a:r>
                      <a:rPr lang="en-IN" baseline="0"/>
                      <a:t>, </a:t>
                    </a:r>
                    <a:fld id="{F7A731E9-BEFA-4680-993C-BF91A50667B5}"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EAC741BF-FF60-4327-ADC4-084D083770D2}" type="CELLRANGE">
                      <a:rPr lang="en-IN"/>
                      <a:pPr/>
                      <a:t>[CELLRANGE]</a:t>
                    </a:fld>
                    <a:r>
                      <a:rPr lang="en-IN" baseline="0"/>
                      <a:t>, </a:t>
                    </a:r>
                    <a:fld id="{9DC156A4-865A-4A07-866C-BA8B0C50157B}"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9D71110B-6B10-44ED-B288-48ABA3649903}" type="CELLRANGE">
                      <a:rPr lang="en-IN"/>
                      <a:pPr/>
                      <a:t>[CELLRANGE]</a:t>
                    </a:fld>
                    <a:r>
                      <a:rPr lang="en-IN" baseline="0"/>
                      <a:t>, </a:t>
                    </a:r>
                    <a:fld id="{D2131FD8-87F3-4FFE-9C7B-7475B1231B5C}"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plotArea>
      <cx:plotAreaRegion>
        <cx:series layoutId="treemap" uniqueId="{E7725989-8B5B-D341-8478-E6A4692692CA}">
          <cx:tx>
            <cx:txData>
              <cx:f>_xlchart.v1.3</cx:f>
              <cx:v>Attrition</cx:v>
            </cx:txData>
          </cx:tx>
          <cx:dataLabels pos="inEnd">
            <cx:spPr>
              <a:noFill/>
            </cx:spPr>
            <cx:visibility seriesName="0" categoryName="1" value="1"/>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solidFill>
                <a:schemeClr val="accent1">
                  <a:lumMod val="20000"/>
                  <a:lumOff val="80000"/>
                </a:schemeClr>
              </a:solidFill>
            </a:ln>
            <a:effectLst>
              <a:glow rad="177800">
                <a:schemeClr val="tx2"/>
              </a:glow>
            </a:effectLst>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7725989-8B5B-D341-8478-E6A4692692CA}">
          <cx:tx>
            <cx:txData>
              <cx:f>_xlchart.v1.6</cx:f>
              <cx:v>Attrition</cx:v>
            </cx:txData>
          </cx:tx>
          <cx:dataLabels pos="inEnd">
            <cx:visibility seriesName="0" categoryName="1" value="1"/>
          </cx:dataLabels>
          <cx:dataId val="0"/>
          <cx:layoutPr>
            <cx:parentLabelLayout val="banner"/>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plotArea>
      <cx:plotAreaRegion>
        <cx:series layoutId="treemap" uniqueId="{E7725989-8B5B-D341-8478-E6A4692692CA}">
          <cx:tx>
            <cx:txData>
              <cx:f>_xlchart.v1.11</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_xlchart.v2.14</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6.xml"/><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chart" Target="../charts/chart5.xml"/><Relationship Id="rId17"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image" Target="../media/image3.png"/><Relationship Id="rId11" Type="http://schemas.microsoft.com/office/2014/relationships/chartEx" Target="../charts/chartEx1.xml"/><Relationship Id="rId5" Type="http://schemas.openxmlformats.org/officeDocument/2006/relationships/image" Target="../media/image2.svg"/><Relationship Id="rId15" Type="http://schemas.openxmlformats.org/officeDocument/2006/relationships/image" Target="../media/image7.png"/><Relationship Id="rId10" Type="http://schemas.openxmlformats.org/officeDocument/2006/relationships/image" Target="../media/image6.svg"/><Relationship Id="rId4" Type="http://schemas.openxmlformats.org/officeDocument/2006/relationships/image" Target="../media/image1.png"/><Relationship Id="rId9" Type="http://schemas.openxmlformats.org/officeDocument/2006/relationships/image" Target="../media/image5.png"/><Relationship Id="rId14"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8" Type="http://schemas.microsoft.com/office/2014/relationships/chartEx" Target="../charts/chartEx6.xml"/><Relationship Id="rId3" Type="http://schemas.openxmlformats.org/officeDocument/2006/relationships/chart" Target="../charts/chart15.xml"/><Relationship Id="rId7" Type="http://schemas.openxmlformats.org/officeDocument/2006/relationships/chart" Target="../charts/chart18.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7.xml"/><Relationship Id="rId5" Type="http://schemas.microsoft.com/office/2014/relationships/chartEx" Target="../charts/chartEx5.xml"/><Relationship Id="rId4"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xdr:col>
      <xdr:colOff>289560</xdr:colOff>
      <xdr:row>0</xdr:row>
      <xdr:rowOff>182880</xdr:rowOff>
    </xdr:from>
    <xdr:to>
      <xdr:col>18</xdr:col>
      <xdr:colOff>30480</xdr:colOff>
      <xdr:row>34</xdr:row>
      <xdr:rowOff>67248</xdr:rowOff>
    </xdr:to>
    <xdr:grpSp>
      <xdr:nvGrpSpPr>
        <xdr:cNvPr id="2" name="Group 1">
          <a:extLst>
            <a:ext uri="{FF2B5EF4-FFF2-40B4-BE49-F238E27FC236}">
              <a16:creationId xmlns:a16="http://schemas.microsoft.com/office/drawing/2014/main" id="{901CFA0A-E62B-4D26-BC0B-E333403F7EEB}"/>
            </a:ext>
          </a:extLst>
        </xdr:cNvPr>
        <xdr:cNvGrpSpPr/>
      </xdr:nvGrpSpPr>
      <xdr:grpSpPr>
        <a:xfrm>
          <a:off x="979684" y="182880"/>
          <a:ext cx="11386336" cy="6632498"/>
          <a:chOff x="1752601" y="225949"/>
          <a:chExt cx="13249720" cy="7767371"/>
        </a:xfrm>
      </xdr:grpSpPr>
      <xdr:sp macro="" textlink="">
        <xdr:nvSpPr>
          <xdr:cNvPr id="3" name="Rectangle: Rounded Corners 2">
            <a:extLst>
              <a:ext uri="{FF2B5EF4-FFF2-40B4-BE49-F238E27FC236}">
                <a16:creationId xmlns:a16="http://schemas.microsoft.com/office/drawing/2014/main" id="{9C8D43F2-CF45-94E9-CAF1-A5EFA012C25D}"/>
              </a:ext>
            </a:extLst>
          </xdr:cNvPr>
          <xdr:cNvSpPr/>
        </xdr:nvSpPr>
        <xdr:spPr>
          <a:xfrm>
            <a:off x="1752601" y="873799"/>
            <a:ext cx="13055461" cy="7119521"/>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61AC208A-CF28-7463-4B96-8CDC2F3F143C}"/>
              </a:ext>
            </a:extLst>
          </xdr:cNvPr>
          <xdr:cNvSpPr/>
        </xdr:nvSpPr>
        <xdr:spPr>
          <a:xfrm>
            <a:off x="1788777" y="225949"/>
            <a:ext cx="8429175" cy="920829"/>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3800">
                <a:solidFill>
                  <a:srgbClr val="7030A0"/>
                </a:solidFill>
                <a:latin typeface="Lato Black" panose="020F0A02020204030203" pitchFamily="34" charset="0"/>
              </a:rPr>
              <a:t>HR</a:t>
            </a:r>
            <a:r>
              <a:rPr lang="en-IN" sz="3800" baseline="0">
                <a:solidFill>
                  <a:srgbClr val="7030A0"/>
                </a:solidFill>
                <a:latin typeface="Lato Black" panose="020F0A02020204030203" pitchFamily="34" charset="0"/>
              </a:rPr>
              <a:t> ANALYTICS DASHBOARD</a:t>
            </a:r>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020A63D3-6CAC-4B1A-80AE-41F71C1BFE39}"/>
              </a:ext>
            </a:extLst>
          </xdr:cNvPr>
          <xdr:cNvSpPr/>
        </xdr:nvSpPr>
        <xdr:spPr>
          <a:xfrm>
            <a:off x="10245084" y="225949"/>
            <a:ext cx="4684883" cy="929769"/>
          </a:xfrm>
          <a:prstGeom prst="roundRect">
            <a:avLst>
              <a:gd name="adj" fmla="val 7872"/>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a:solidFill>
                  <a:srgbClr val="FF0000"/>
                </a:solidFill>
              </a:rPr>
              <a:t>                       </a:t>
            </a:r>
            <a:r>
              <a:rPr lang="en-IN" baseline="0">
                <a:solidFill>
                  <a:srgbClr val="FF0000"/>
                </a:solidFill>
              </a:rPr>
              <a:t>            </a:t>
            </a:r>
            <a:r>
              <a:rPr lang="en-IN">
                <a:solidFill>
                  <a:srgbClr val="FF0000"/>
                </a:solidFill>
              </a:rPr>
              <a:t>JOB</a:t>
            </a:r>
          </a:p>
          <a:p>
            <a:pPr algn="ctr"/>
            <a:r>
              <a:rPr lang="en-IN">
                <a:solidFill>
                  <a:srgbClr val="FF0000"/>
                </a:solidFill>
              </a:rPr>
              <a:t>                 SATISFACTION</a:t>
            </a:r>
          </a:p>
          <a:p>
            <a:pPr algn="l"/>
            <a:r>
              <a:rPr lang="en-IN">
                <a:solidFill>
                  <a:srgbClr val="FF0000"/>
                </a:solidFill>
              </a:rPr>
              <a:t>                                  RATING     </a:t>
            </a:r>
          </a:p>
        </xdr:txBody>
      </xdr:sp>
      <xdr:sp macro="" textlink="">
        <xdr:nvSpPr>
          <xdr:cNvPr id="6" name="Rectangle: Rounded Corners 5">
            <a:extLst>
              <a:ext uri="{FF2B5EF4-FFF2-40B4-BE49-F238E27FC236}">
                <a16:creationId xmlns:a16="http://schemas.microsoft.com/office/drawing/2014/main" id="{6E820F49-47C0-8BDC-8D75-72C41EF2F51C}"/>
              </a:ext>
            </a:extLst>
          </xdr:cNvPr>
          <xdr:cNvSpPr/>
        </xdr:nvSpPr>
        <xdr:spPr>
          <a:xfrm>
            <a:off x="5870249" y="2283158"/>
            <a:ext cx="4819651" cy="277288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a:p>
            <a:pPr algn="ctr"/>
            <a:r>
              <a:rPr lang="en-IN">
                <a:solidFill>
                  <a:schemeClr val="accent6"/>
                </a:solidFill>
              </a:rPr>
              <a:t>EDUCATION WISE ATTRITION</a:t>
            </a:r>
          </a:p>
          <a:p>
            <a:pPr algn="ctr"/>
            <a:endParaRPr lang="en-IN"/>
          </a:p>
          <a:p>
            <a:pPr algn="ctr"/>
            <a:endParaRPr lang="en-IN"/>
          </a:p>
          <a:p>
            <a:pPr algn="ctr"/>
            <a:endParaRPr lang="en-IN"/>
          </a:p>
          <a:p>
            <a:pPr algn="ctr"/>
            <a:endParaRPr lang="en-IN"/>
          </a:p>
          <a:p>
            <a:pPr algn="ctr"/>
            <a:endParaRPr lang="en-IN"/>
          </a:p>
          <a:p>
            <a:pPr algn="ctr"/>
            <a:endParaRPr lang="en-IN"/>
          </a:p>
          <a:p>
            <a:pPr algn="ctr"/>
            <a:endParaRPr lang="en-IN"/>
          </a:p>
        </xdr:txBody>
      </xdr:sp>
      <xdr:grpSp>
        <xdr:nvGrpSpPr>
          <xdr:cNvPr id="7" name="Group 6">
            <a:extLst>
              <a:ext uri="{FF2B5EF4-FFF2-40B4-BE49-F238E27FC236}">
                <a16:creationId xmlns:a16="http://schemas.microsoft.com/office/drawing/2014/main" id="{2254541A-EC52-2F43-57E4-557C1C6C8AED}"/>
              </a:ext>
            </a:extLst>
          </xdr:cNvPr>
          <xdr:cNvGrpSpPr/>
        </xdr:nvGrpSpPr>
        <xdr:grpSpPr>
          <a:xfrm>
            <a:off x="1822527" y="1209358"/>
            <a:ext cx="13134572" cy="1050112"/>
            <a:chOff x="1822324" y="1209358"/>
            <a:chExt cx="13247543" cy="1050112"/>
          </a:xfrm>
        </xdr:grpSpPr>
        <xdr:sp macro="" textlink="KPI!A7">
          <xdr:nvSpPr>
            <xdr:cNvPr id="22" name="Rectangle: Rounded Corners 21">
              <a:extLst>
                <a:ext uri="{FF2B5EF4-FFF2-40B4-BE49-F238E27FC236}">
                  <a16:creationId xmlns:a16="http://schemas.microsoft.com/office/drawing/2014/main" id="{86B2FD84-B80D-D664-0FED-DFDF461BD384}"/>
                </a:ext>
              </a:extLst>
            </xdr:cNvPr>
            <xdr:cNvSpPr/>
          </xdr:nvSpPr>
          <xdr:spPr>
            <a:xfrm>
              <a:off x="1822324" y="1218298"/>
              <a:ext cx="2602058" cy="1041172"/>
            </a:xfrm>
            <a:prstGeom prst="roundRect">
              <a:avLst>
                <a:gd name="adj" fmla="val 6048"/>
              </a:avLst>
            </a:prstGeom>
            <a:solidFill>
              <a:srgbClr val="00B0F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TOTAL EMPLOYEES</a:t>
              </a:r>
            </a:p>
            <a:p>
              <a:pPr algn="ctr"/>
              <a:fld id="{63549679-43A0-4DFA-A134-15ADC70BE14C}" type="TxLink">
                <a:rPr lang="en-US" sz="1200" b="0" i="0" u="none" strike="noStrike">
                  <a:solidFill>
                    <a:srgbClr val="000000"/>
                  </a:solidFill>
                  <a:latin typeface="Calibri"/>
                  <a:ea typeface="Calibri"/>
                  <a:cs typeface="Calibri"/>
                </a:rPr>
                <a:pPr algn="ctr"/>
                <a:t>1470</a:t>
              </a:fld>
              <a:endParaRPr lang="en-IN">
                <a:solidFill>
                  <a:srgbClr val="FF0000"/>
                </a:solidFill>
              </a:endParaRPr>
            </a:p>
          </xdr:txBody>
        </xdr:sp>
        <xdr:sp macro="" textlink="KPI!B7">
          <xdr:nvSpPr>
            <xdr:cNvPr id="23" name="Rectangle: Rounded Corners 22">
              <a:extLst>
                <a:ext uri="{FF2B5EF4-FFF2-40B4-BE49-F238E27FC236}">
                  <a16:creationId xmlns:a16="http://schemas.microsoft.com/office/drawing/2014/main" id="{E018E59B-861A-37EA-7BB0-A027761A2C19}"/>
                </a:ext>
              </a:extLst>
            </xdr:cNvPr>
            <xdr:cNvSpPr/>
          </xdr:nvSpPr>
          <xdr:spPr>
            <a:xfrm>
              <a:off x="4520690" y="1209358"/>
              <a:ext cx="2667798" cy="1019171"/>
            </a:xfrm>
            <a:prstGeom prst="roundRect">
              <a:avLst>
                <a:gd name="adj" fmla="val 6048"/>
              </a:avLst>
            </a:prstGeom>
            <a:solidFill>
              <a:schemeClr val="accent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ATTRITION</a:t>
              </a:r>
            </a:p>
            <a:p>
              <a:pPr algn="ctr"/>
              <a:fld id="{7A326911-EEB0-4290-9CC9-9F9E2EBA07DD}" type="TxLink">
                <a:rPr lang="en-US" sz="1200" b="0" i="0" u="none" strike="noStrike">
                  <a:solidFill>
                    <a:srgbClr val="000000"/>
                  </a:solidFill>
                  <a:latin typeface="Calibri"/>
                  <a:ea typeface="Calibri"/>
                  <a:cs typeface="Calibri"/>
                </a:rPr>
                <a:pPr algn="ctr"/>
                <a:t>237</a:t>
              </a:fld>
              <a:endParaRPr lang="en-IN"/>
            </a:p>
          </xdr:txBody>
        </xdr:sp>
        <xdr:sp macro="" textlink="KPI!D7">
          <xdr:nvSpPr>
            <xdr:cNvPr id="24" name="Rectangle: Rounded Corners 23">
              <a:extLst>
                <a:ext uri="{FF2B5EF4-FFF2-40B4-BE49-F238E27FC236}">
                  <a16:creationId xmlns:a16="http://schemas.microsoft.com/office/drawing/2014/main" id="{5C02F62C-5C8A-8F32-DF86-D769FDB8E2ED}"/>
                </a:ext>
              </a:extLst>
            </xdr:cNvPr>
            <xdr:cNvSpPr/>
          </xdr:nvSpPr>
          <xdr:spPr>
            <a:xfrm>
              <a:off x="7278924" y="1209358"/>
              <a:ext cx="2602058" cy="1014144"/>
            </a:xfrm>
            <a:prstGeom prst="roundRect">
              <a:avLst>
                <a:gd name="adj" fmla="val 6048"/>
              </a:avLst>
            </a:prstGeom>
            <a:solidFill>
              <a:srgbClr val="92D05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ACTIVE EMPLOYEES</a:t>
              </a:r>
            </a:p>
            <a:p>
              <a:pPr algn="ctr"/>
              <a:fld id="{FC671E61-4DB9-4E4A-B70F-219DB42AC61F}" type="TxLink">
                <a:rPr lang="en-US" sz="1200" b="0" i="0" u="none" strike="noStrike">
                  <a:solidFill>
                    <a:srgbClr val="000000"/>
                  </a:solidFill>
                  <a:latin typeface="Calibri"/>
                  <a:ea typeface="Calibri"/>
                  <a:cs typeface="Calibri"/>
                </a:rPr>
                <a:pPr algn="ctr"/>
                <a:t>1233</a:t>
              </a:fld>
              <a:endParaRPr lang="en-IN"/>
            </a:p>
          </xdr:txBody>
        </xdr:sp>
        <xdr:sp macro="" textlink="KPI!E7">
          <xdr:nvSpPr>
            <xdr:cNvPr id="25" name="Rectangle: Rounded Corners 24">
              <a:extLst>
                <a:ext uri="{FF2B5EF4-FFF2-40B4-BE49-F238E27FC236}">
                  <a16:creationId xmlns:a16="http://schemas.microsoft.com/office/drawing/2014/main" id="{7ABF5CF5-D739-2DAF-6E2B-20F2C5056136}"/>
                </a:ext>
              </a:extLst>
            </xdr:cNvPr>
            <xdr:cNvSpPr/>
          </xdr:nvSpPr>
          <xdr:spPr>
            <a:xfrm>
              <a:off x="9947130" y="1215714"/>
              <a:ext cx="2602058" cy="998848"/>
            </a:xfrm>
            <a:prstGeom prst="roundRect">
              <a:avLst>
                <a:gd name="adj" fmla="val 6048"/>
              </a:avLst>
            </a:prstGeom>
            <a:solidFill>
              <a:schemeClr val="accent2">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ATTITION RATE</a:t>
              </a:r>
            </a:p>
            <a:p>
              <a:pPr algn="ctr"/>
              <a:fld id="{D833CD49-C16A-4568-85AD-4BB262C117C9}" type="TxLink">
                <a:rPr lang="en-US" sz="1200" b="0" i="0" u="none" strike="noStrike">
                  <a:solidFill>
                    <a:srgbClr val="000000"/>
                  </a:solidFill>
                  <a:latin typeface="Calibri"/>
                  <a:ea typeface="Calibri"/>
                  <a:cs typeface="Calibri"/>
                </a:rPr>
                <a:pPr algn="ctr"/>
                <a:t>16.12%</a:t>
              </a:fld>
              <a:endParaRPr lang="en-IN"/>
            </a:p>
          </xdr:txBody>
        </xdr:sp>
        <xdr:sp macro="" textlink="KPI!C7">
          <xdr:nvSpPr>
            <xdr:cNvPr id="26" name="Rectangle: Rounded Corners 25">
              <a:extLst>
                <a:ext uri="{FF2B5EF4-FFF2-40B4-BE49-F238E27FC236}">
                  <a16:creationId xmlns:a16="http://schemas.microsoft.com/office/drawing/2014/main" id="{9F0DC306-86EE-A18B-A91C-CB3A3A0C67D9}"/>
                </a:ext>
              </a:extLst>
            </xdr:cNvPr>
            <xdr:cNvSpPr/>
          </xdr:nvSpPr>
          <xdr:spPr>
            <a:xfrm>
              <a:off x="12603273" y="1218297"/>
              <a:ext cx="2466594" cy="996265"/>
            </a:xfrm>
            <a:prstGeom prst="roundRect">
              <a:avLst>
                <a:gd name="adj" fmla="val 6048"/>
              </a:avLst>
            </a:prstGeom>
            <a:solidFill>
              <a:srgbClr val="FFC00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AVERAGE</a:t>
              </a:r>
              <a:r>
                <a:rPr lang="en-US" sz="1200" b="0" i="0" u="none" strike="noStrike" baseline="0">
                  <a:solidFill>
                    <a:srgbClr val="000000"/>
                  </a:solidFill>
                  <a:latin typeface="Calibri"/>
                  <a:ea typeface="Calibri"/>
                  <a:cs typeface="Calibri"/>
                </a:rPr>
                <a:t> AGE</a:t>
              </a:r>
              <a:endParaRPr lang="en-US" sz="1200" b="0" i="0" u="none" strike="noStrike">
                <a:solidFill>
                  <a:srgbClr val="000000"/>
                </a:solidFill>
                <a:latin typeface="Calibri"/>
                <a:ea typeface="Calibri"/>
                <a:cs typeface="Calibri"/>
              </a:endParaRPr>
            </a:p>
            <a:p>
              <a:pPr algn="ctr"/>
              <a:fld id="{27ECD687-0231-4862-B10E-04CA76817CB8}" type="TxLink">
                <a:rPr lang="en-US" sz="1200" b="0" i="0" u="none" strike="noStrike">
                  <a:solidFill>
                    <a:srgbClr val="000000"/>
                  </a:solidFill>
                  <a:latin typeface="Calibri"/>
                  <a:ea typeface="Calibri"/>
                  <a:cs typeface="Calibri"/>
                </a:rPr>
                <a:pPr algn="ctr"/>
                <a:t>36.9</a:t>
              </a:fld>
              <a:endParaRPr lang="en-IN"/>
            </a:p>
          </xdr:txBody>
        </xdr:sp>
      </xdr:grpSp>
      <xdr:grpSp>
        <xdr:nvGrpSpPr>
          <xdr:cNvPr id="8" name="Group 7">
            <a:extLst>
              <a:ext uri="{FF2B5EF4-FFF2-40B4-BE49-F238E27FC236}">
                <a16:creationId xmlns:a16="http://schemas.microsoft.com/office/drawing/2014/main" id="{CAE68A2D-FEFE-3C5B-8EB2-C31E0BCF5EE2}"/>
              </a:ext>
            </a:extLst>
          </xdr:cNvPr>
          <xdr:cNvGrpSpPr/>
        </xdr:nvGrpSpPr>
        <xdr:grpSpPr>
          <a:xfrm>
            <a:off x="1847145" y="5162549"/>
            <a:ext cx="3867930" cy="2742931"/>
            <a:chOff x="1847145" y="2304894"/>
            <a:chExt cx="3867930" cy="2807082"/>
          </a:xfrm>
        </xdr:grpSpPr>
        <xdr:sp macro="" textlink="">
          <xdr:nvSpPr>
            <xdr:cNvPr id="20" name="Rectangle: Rounded Corners 19">
              <a:extLst>
                <a:ext uri="{FF2B5EF4-FFF2-40B4-BE49-F238E27FC236}">
                  <a16:creationId xmlns:a16="http://schemas.microsoft.com/office/drawing/2014/main" id="{B880733B-3CC5-8352-C5F2-ABF0B7643A4A}"/>
                </a:ext>
              </a:extLst>
            </xdr:cNvPr>
            <xdr:cNvSpPr/>
          </xdr:nvSpPr>
          <xdr:spPr>
            <a:xfrm>
              <a:off x="1847145" y="2304894"/>
              <a:ext cx="3867930" cy="2807082"/>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solidFill>
                    <a:srgbClr val="00B050"/>
                  </a:solidFill>
                </a:rPr>
                <a:t>DEPARTMENT WISE ATTRITION</a:t>
              </a: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xdr:txBody>
        </xdr:sp>
        <xdr:cxnSp macro="">
          <xdr:nvCxnSpPr>
            <xdr:cNvPr id="21" name="Straight Connector 20">
              <a:extLst>
                <a:ext uri="{FF2B5EF4-FFF2-40B4-BE49-F238E27FC236}">
                  <a16:creationId xmlns:a16="http://schemas.microsoft.com/office/drawing/2014/main" id="{27C5B86F-D8D9-E4BD-A264-78EB1DE9B41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C35A574F-2EDE-201C-5F70-317093DC9E9C}"/>
              </a:ext>
            </a:extLst>
          </xdr:cNvPr>
          <xdr:cNvCxnSpPr>
            <a:cxnSpLocks/>
          </xdr:cNvCxnSpPr>
        </xdr:nvCxnSpPr>
        <xdr:spPr>
          <a:xfrm flipH="1">
            <a:off x="5703852" y="2836912"/>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AD524D0-E7A0-D1BB-4C85-AACEE458F07D}"/>
              </a:ext>
            </a:extLst>
          </xdr:cNvPr>
          <xdr:cNvSpPr/>
        </xdr:nvSpPr>
        <xdr:spPr>
          <a:xfrm>
            <a:off x="10735086" y="2255348"/>
            <a:ext cx="4240103" cy="2804546"/>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a:p>
            <a:pPr algn="ctr"/>
            <a:r>
              <a:rPr lang="en-IN">
                <a:solidFill>
                  <a:srgbClr val="00B050"/>
                </a:solidFill>
              </a:rPr>
              <a:t>ATTRITION BY JOB ROLE</a:t>
            </a:r>
          </a:p>
          <a:p>
            <a:pPr algn="ctr"/>
            <a:endParaRPr lang="en-IN"/>
          </a:p>
          <a:p>
            <a:pPr algn="ctr"/>
            <a:endParaRPr lang="en-IN"/>
          </a:p>
          <a:p>
            <a:pPr algn="ctr"/>
            <a:endParaRPr lang="en-IN"/>
          </a:p>
          <a:p>
            <a:pPr algn="ctr"/>
            <a:endParaRPr lang="en-IN"/>
          </a:p>
          <a:p>
            <a:pPr algn="ctr"/>
            <a:endParaRPr lang="en-IN"/>
          </a:p>
          <a:p>
            <a:pPr algn="ctr"/>
            <a:endParaRPr lang="en-IN"/>
          </a:p>
          <a:p>
            <a:pPr algn="ctr"/>
            <a:endParaRPr lang="en-IN"/>
          </a:p>
          <a:p>
            <a:pPr algn="ctr"/>
            <a:endParaRPr lang="en-IN"/>
          </a:p>
        </xdr:txBody>
      </xdr:sp>
      <xdr:cxnSp macro="">
        <xdr:nvCxnSpPr>
          <xdr:cNvPr id="11" name="Straight Connector 10">
            <a:extLst>
              <a:ext uri="{FF2B5EF4-FFF2-40B4-BE49-F238E27FC236}">
                <a16:creationId xmlns:a16="http://schemas.microsoft.com/office/drawing/2014/main" id="{32F810FB-558C-A16F-DE2B-9FEF76C8B153}"/>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8830B1B-BE28-857A-9DAA-AB135D05778E}"/>
              </a:ext>
            </a:extLst>
          </xdr:cNvPr>
          <xdr:cNvSpPr/>
        </xdr:nvSpPr>
        <xdr:spPr>
          <a:xfrm>
            <a:off x="1780793" y="2354489"/>
            <a:ext cx="3917276" cy="2704899"/>
          </a:xfrm>
          <a:prstGeom prst="roundRect">
            <a:avLst>
              <a:gd name="adj" fmla="val 3303"/>
            </a:avLst>
          </a:prstGeom>
          <a:no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a:p>
            <a:pPr algn="ctr"/>
            <a:r>
              <a:rPr lang="en-IN">
                <a:solidFill>
                  <a:srgbClr val="00B050"/>
                </a:solidFill>
              </a:rPr>
              <a:t>TOTAL EMPLOYEES</a:t>
            </a:r>
            <a:r>
              <a:rPr lang="en-IN" baseline="0">
                <a:solidFill>
                  <a:srgbClr val="00B050"/>
                </a:solidFill>
              </a:rPr>
              <a:t> BY GENDER</a:t>
            </a:r>
          </a:p>
          <a:p>
            <a:pPr algn="ctr"/>
            <a:endParaRPr lang="en-IN" baseline="0">
              <a:solidFill>
                <a:srgbClr val="FFFF00"/>
              </a:solidFill>
            </a:endParaRPr>
          </a:p>
          <a:p>
            <a:pPr algn="ctr"/>
            <a:endParaRPr lang="en-IN" baseline="0">
              <a:ln>
                <a:noFill/>
              </a:ln>
              <a:solidFill>
                <a:schemeClr val="accent1">
                  <a:lumMod val="40000"/>
                  <a:lumOff val="60000"/>
                </a:schemeClr>
              </a:solidFill>
            </a:endParaRPr>
          </a:p>
          <a:p>
            <a:pPr algn="ctr"/>
            <a:endParaRPr lang="en-IN" baseline="0"/>
          </a:p>
          <a:p>
            <a:pPr algn="ctr"/>
            <a:endParaRPr lang="en-IN" baseline="0"/>
          </a:p>
          <a:p>
            <a:pPr algn="ctr"/>
            <a:endParaRPr lang="en-IN" baseline="0">
              <a:solidFill>
                <a:schemeClr val="accent3"/>
              </a:solidFill>
            </a:endParaRPr>
          </a:p>
          <a:p>
            <a:pPr algn="ctr"/>
            <a:endParaRPr lang="en-IN" baseline="0"/>
          </a:p>
          <a:p>
            <a:pPr algn="ctr"/>
            <a:endParaRPr lang="en-IN" baseline="0"/>
          </a:p>
          <a:p>
            <a:pPr algn="ctr"/>
            <a:endParaRPr lang="en-IN"/>
          </a:p>
        </xdr:txBody>
      </xdr:sp>
      <xdr:cxnSp macro="">
        <xdr:nvCxnSpPr>
          <xdr:cNvPr id="13" name="Straight Connector 12">
            <a:extLst>
              <a:ext uri="{FF2B5EF4-FFF2-40B4-BE49-F238E27FC236}">
                <a16:creationId xmlns:a16="http://schemas.microsoft.com/office/drawing/2014/main" id="{F5D30715-6F2D-60D4-E1F2-614CA3EA064C}"/>
              </a:ext>
            </a:extLst>
          </xdr:cNvPr>
          <xdr:cNvCxnSpPr>
            <a:cxnSpLocks/>
          </xdr:cNvCxnSpPr>
        </xdr:nvCxnSpPr>
        <xdr:spPr>
          <a:xfrm flipV="1">
            <a:off x="1963706" y="2666813"/>
            <a:ext cx="3608419" cy="5265"/>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E2325825-A83A-28DE-9DBB-52300C089CA9}"/>
              </a:ext>
            </a:extLst>
          </xdr:cNvPr>
          <xdr:cNvSpPr/>
        </xdr:nvSpPr>
        <xdr:spPr>
          <a:xfrm>
            <a:off x="5813438" y="5089355"/>
            <a:ext cx="3623878" cy="2711184"/>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1100" b="1" i="0" u="sng">
                <a:solidFill>
                  <a:srgbClr val="00B050"/>
                </a:solidFill>
                <a:latin typeface="Bahnschrift Condensed" panose="020B0502040204020203" pitchFamily="34" charset="0"/>
              </a:rPr>
              <a:t>ATTRITION</a:t>
            </a:r>
            <a:r>
              <a:rPr lang="en-IN" sz="1100" b="1" i="0" u="sng" baseline="0">
                <a:solidFill>
                  <a:srgbClr val="00B050"/>
                </a:solidFill>
                <a:latin typeface="Bahnschrift Condensed" panose="020B0502040204020203" pitchFamily="34" charset="0"/>
              </a:rPr>
              <a:t> BY AGE GROUP</a:t>
            </a:r>
          </a:p>
          <a:p>
            <a:pPr algn="ctr"/>
            <a:endParaRPr lang="en-IN" sz="1800" b="1" i="0" u="sng" baseline="0">
              <a:solidFill>
                <a:srgbClr val="00B050"/>
              </a:solidFill>
              <a:latin typeface="Bahnschrift Light Condensed" panose="020B0502040204020203" pitchFamily="34" charset="0"/>
            </a:endParaRPr>
          </a:p>
          <a:p>
            <a:pPr algn="ctr"/>
            <a:endParaRPr lang="en-IN" baseline="0"/>
          </a:p>
          <a:p>
            <a:pPr algn="ctr"/>
            <a:endParaRPr lang="en-IN" baseline="0"/>
          </a:p>
          <a:p>
            <a:pPr algn="ctr"/>
            <a:endParaRPr lang="en-IN" baseline="0"/>
          </a:p>
          <a:p>
            <a:pPr algn="ctr"/>
            <a:endParaRPr lang="en-IN" baseline="0"/>
          </a:p>
          <a:p>
            <a:pPr algn="ctr"/>
            <a:endParaRPr lang="en-IN" baseline="0"/>
          </a:p>
          <a:p>
            <a:pPr algn="ctr"/>
            <a:endParaRPr lang="en-IN"/>
          </a:p>
        </xdr:txBody>
      </xdr:sp>
      <xdr:cxnSp macro="">
        <xdr:nvCxnSpPr>
          <xdr:cNvPr id="15" name="Straight Connector 14">
            <a:extLst>
              <a:ext uri="{FF2B5EF4-FFF2-40B4-BE49-F238E27FC236}">
                <a16:creationId xmlns:a16="http://schemas.microsoft.com/office/drawing/2014/main" id="{B8341D8A-C1C9-282A-B860-718EA08E8968}"/>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23CDFB8D-93BC-9F6E-6CAA-FB0ACE1A53BB}"/>
              </a:ext>
            </a:extLst>
          </xdr:cNvPr>
          <xdr:cNvSpPr/>
        </xdr:nvSpPr>
        <xdr:spPr>
          <a:xfrm>
            <a:off x="9467145" y="5098296"/>
            <a:ext cx="2844000" cy="2764255"/>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lvl="1" algn="l"/>
            <a:r>
              <a:rPr lang="en-IN" sz="1050" b="1" i="1" u="sng">
                <a:solidFill>
                  <a:srgbClr val="00B050"/>
                </a:solidFill>
              </a:rPr>
              <a:t>ATTRITION BY MARRIGE</a:t>
            </a:r>
            <a:r>
              <a:rPr lang="en-IN" sz="1050" b="1" i="1" u="sng" baseline="0">
                <a:solidFill>
                  <a:srgbClr val="00B050"/>
                </a:solidFill>
              </a:rPr>
              <a:t> </a:t>
            </a:r>
            <a:r>
              <a:rPr lang="en-IN" sz="1050" b="1" i="1" u="sng" cap="small" baseline="0">
                <a:solidFill>
                  <a:srgbClr val="00B050"/>
                </a:solidFill>
              </a:rPr>
              <a:t>STATUS</a:t>
            </a:r>
          </a:p>
          <a:p>
            <a:pPr lvl="1" algn="l"/>
            <a:endParaRPr lang="en-IN" sz="1050" b="1" i="1" u="sng" baseline="0"/>
          </a:p>
          <a:p>
            <a:pPr algn="ctr"/>
            <a:endParaRPr lang="en-IN" baseline="0"/>
          </a:p>
          <a:p>
            <a:pPr algn="ctr"/>
            <a:endParaRPr lang="en-IN" baseline="0"/>
          </a:p>
          <a:p>
            <a:pPr algn="ctr"/>
            <a:endParaRPr lang="en-IN" baseline="0"/>
          </a:p>
          <a:p>
            <a:pPr algn="ctr"/>
            <a:endParaRPr lang="en-IN" baseline="0"/>
          </a:p>
          <a:p>
            <a:pPr algn="ctr"/>
            <a:endParaRPr lang="en-IN" baseline="0"/>
          </a:p>
          <a:p>
            <a:pPr algn="ctr"/>
            <a:endParaRPr lang="en-IN"/>
          </a:p>
        </xdr:txBody>
      </xdr:sp>
      <xdr:cxnSp macro="">
        <xdr:nvCxnSpPr>
          <xdr:cNvPr id="17" name="Straight Connector 16">
            <a:extLst>
              <a:ext uri="{FF2B5EF4-FFF2-40B4-BE49-F238E27FC236}">
                <a16:creationId xmlns:a16="http://schemas.microsoft.com/office/drawing/2014/main" id="{CA4CD5CC-3891-AF4E-7922-48DF9C8707EE}"/>
              </a:ext>
            </a:extLst>
          </xdr:cNvPr>
          <xdr:cNvCxnSpPr>
            <a:cxnSpLocks/>
          </xdr:cNvCxnSpPr>
        </xdr:nvCxnSpPr>
        <xdr:spPr>
          <a:xfrm flipV="1">
            <a:off x="9713550" y="5631781"/>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0207ADB-6AE8-4AC3-7B6F-E9E3C9E583C2}"/>
              </a:ext>
            </a:extLst>
          </xdr:cNvPr>
          <xdr:cNvSpPr/>
        </xdr:nvSpPr>
        <xdr:spPr>
          <a:xfrm>
            <a:off x="12393108" y="5089355"/>
            <a:ext cx="2609213" cy="2878707"/>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CDE34CF3-17A5-FAFA-F0AD-6E1EAE3FB43A}"/>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16</xdr:col>
      <xdr:colOff>419100</xdr:colOff>
      <xdr:row>0</xdr:row>
      <xdr:rowOff>182880</xdr:rowOff>
    </xdr:from>
    <xdr:to>
      <xdr:col>17</xdr:col>
      <xdr:colOff>548640</xdr:colOff>
      <xdr:row>4</xdr:row>
      <xdr:rowOff>114300</xdr:rowOff>
    </xdr:to>
    <xdr:graphicFrame macro="">
      <xdr:nvGraphicFramePr>
        <xdr:cNvPr id="27" name="Chart 26">
          <a:extLst>
            <a:ext uri="{FF2B5EF4-FFF2-40B4-BE49-F238E27FC236}">
              <a16:creationId xmlns:a16="http://schemas.microsoft.com/office/drawing/2014/main" id="{C8B2C175-7642-4690-9813-21B10F8CD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365760</xdr:colOff>
      <xdr:row>16</xdr:row>
      <xdr:rowOff>167640</xdr:rowOff>
    </xdr:from>
    <xdr:to>
      <xdr:col>2</xdr:col>
      <xdr:colOff>548640</xdr:colOff>
      <xdr:row>21</xdr:row>
      <xdr:rowOff>137160</xdr:rowOff>
    </xdr:to>
    <xdr:graphicFrame macro="">
      <xdr:nvGraphicFramePr>
        <xdr:cNvPr id="28" name="Chart 27">
          <a:extLst>
            <a:ext uri="{FF2B5EF4-FFF2-40B4-BE49-F238E27FC236}">
              <a16:creationId xmlns:a16="http://schemas.microsoft.com/office/drawing/2014/main" id="{504AD196-C643-4E67-918F-C2554F103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510540</xdr:colOff>
      <xdr:row>16</xdr:row>
      <xdr:rowOff>160020</xdr:rowOff>
    </xdr:from>
    <xdr:to>
      <xdr:col>6</xdr:col>
      <xdr:colOff>335280</xdr:colOff>
      <xdr:row>21</xdr:row>
      <xdr:rowOff>76200</xdr:rowOff>
    </xdr:to>
    <xdr:graphicFrame macro="">
      <xdr:nvGraphicFramePr>
        <xdr:cNvPr id="29" name="Chart 28">
          <a:extLst>
            <a:ext uri="{FF2B5EF4-FFF2-40B4-BE49-F238E27FC236}">
              <a16:creationId xmlns:a16="http://schemas.microsoft.com/office/drawing/2014/main" id="{B3FDB855-460B-47BA-80B2-5F99F136E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563880</xdr:colOff>
      <xdr:row>16</xdr:row>
      <xdr:rowOff>152400</xdr:rowOff>
    </xdr:from>
    <xdr:to>
      <xdr:col>3</xdr:col>
      <xdr:colOff>586740</xdr:colOff>
      <xdr:row>21</xdr:row>
      <xdr:rowOff>93345</xdr:rowOff>
    </xdr:to>
    <xdr:pic>
      <xdr:nvPicPr>
        <xdr:cNvPr id="31" name="Graphic 30" descr="Woman with long wavy hair">
          <a:extLst>
            <a:ext uri="{FF2B5EF4-FFF2-40B4-BE49-F238E27FC236}">
              <a16:creationId xmlns:a16="http://schemas.microsoft.com/office/drawing/2014/main" id="{D3B34321-E533-6F7A-CA01-FDD22985332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905000" y="3322320"/>
          <a:ext cx="693420" cy="931545"/>
        </a:xfrm>
        <a:prstGeom prst="rect">
          <a:avLst/>
        </a:prstGeom>
      </xdr:spPr>
    </xdr:pic>
    <xdr:clientData/>
  </xdr:twoCellAnchor>
  <xdr:twoCellAnchor editAs="oneCell">
    <xdr:from>
      <xdr:col>3</xdr:col>
      <xdr:colOff>594360</xdr:colOff>
      <xdr:row>16</xdr:row>
      <xdr:rowOff>152400</xdr:rowOff>
    </xdr:from>
    <xdr:to>
      <xdr:col>4</xdr:col>
      <xdr:colOff>655320</xdr:colOff>
      <xdr:row>21</xdr:row>
      <xdr:rowOff>129540</xdr:rowOff>
    </xdr:to>
    <xdr:pic>
      <xdr:nvPicPr>
        <xdr:cNvPr id="33" name="Graphic 32" descr="Man wearing a hoodie">
          <a:extLst>
            <a:ext uri="{FF2B5EF4-FFF2-40B4-BE49-F238E27FC236}">
              <a16:creationId xmlns:a16="http://schemas.microsoft.com/office/drawing/2014/main" id="{17312B34-B870-E8DA-191B-449E956FF68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606040" y="3322320"/>
          <a:ext cx="731520" cy="967740"/>
        </a:xfrm>
        <a:prstGeom prst="rect">
          <a:avLst/>
        </a:prstGeom>
      </xdr:spPr>
    </xdr:pic>
    <xdr:clientData/>
  </xdr:twoCellAnchor>
  <xdr:twoCellAnchor editAs="oneCell">
    <xdr:from>
      <xdr:col>2</xdr:col>
      <xdr:colOff>381000</xdr:colOff>
      <xdr:row>11</xdr:row>
      <xdr:rowOff>144780</xdr:rowOff>
    </xdr:from>
    <xdr:to>
      <xdr:col>5</xdr:col>
      <xdr:colOff>281940</xdr:colOff>
      <xdr:row>16</xdr:row>
      <xdr:rowOff>90180</xdr:rowOff>
    </xdr:to>
    <mc:AlternateContent xmlns:mc="http://schemas.openxmlformats.org/markup-compatibility/2006" xmlns:a14="http://schemas.microsoft.com/office/drawing/2010/main">
      <mc:Choice Requires="a14">
        <xdr:graphicFrame macro="">
          <xdr:nvGraphicFramePr>
            <xdr:cNvPr id="32" name="Gender 4">
              <a:extLst>
                <a:ext uri="{FF2B5EF4-FFF2-40B4-BE49-F238E27FC236}">
                  <a16:creationId xmlns:a16="http://schemas.microsoft.com/office/drawing/2014/main" id="{EC65A723-2C6C-43FB-98C2-402CCF4F2000}"/>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744980" y="2324100"/>
              <a:ext cx="191262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403860</xdr:colOff>
      <xdr:row>12</xdr:row>
      <xdr:rowOff>83820</xdr:rowOff>
    </xdr:from>
    <xdr:to>
      <xdr:col>12</xdr:col>
      <xdr:colOff>312419</xdr:colOff>
      <xdr:row>21</xdr:row>
      <xdr:rowOff>76200</xdr:rowOff>
    </xdr:to>
    <xdr:graphicFrame macro="">
      <xdr:nvGraphicFramePr>
        <xdr:cNvPr id="34" name="Chart 33">
          <a:extLst>
            <a:ext uri="{FF2B5EF4-FFF2-40B4-BE49-F238E27FC236}">
              <a16:creationId xmlns:a16="http://schemas.microsoft.com/office/drawing/2014/main" id="{0DD72979-871A-4B98-98D3-F2E53987B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152400</xdr:colOff>
      <xdr:row>0</xdr:row>
      <xdr:rowOff>129540</xdr:rowOff>
    </xdr:from>
    <xdr:to>
      <xdr:col>13</xdr:col>
      <xdr:colOff>228600</xdr:colOff>
      <xdr:row>3</xdr:row>
      <xdr:rowOff>83820</xdr:rowOff>
    </xdr:to>
    <xdr:pic>
      <xdr:nvPicPr>
        <xdr:cNvPr id="35" name="Graphic 34" descr="Thumbs up sign with solid fill">
          <a:extLst>
            <a:ext uri="{FF2B5EF4-FFF2-40B4-BE49-F238E27FC236}">
              <a16:creationId xmlns:a16="http://schemas.microsoft.com/office/drawing/2014/main" id="{9ECB1647-0A42-552A-3028-1F548D3581D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221980" y="129540"/>
          <a:ext cx="746760" cy="548640"/>
        </a:xfrm>
        <a:prstGeom prst="rect">
          <a:avLst/>
        </a:prstGeom>
      </xdr:spPr>
    </xdr:pic>
    <xdr:clientData/>
  </xdr:twoCellAnchor>
  <xdr:twoCellAnchor>
    <xdr:from>
      <xdr:col>12</xdr:col>
      <xdr:colOff>396240</xdr:colOff>
      <xdr:row>11</xdr:row>
      <xdr:rowOff>137160</xdr:rowOff>
    </xdr:from>
    <xdr:to>
      <xdr:col>17</xdr:col>
      <xdr:colOff>632460</xdr:colOff>
      <xdr:row>21</xdr:row>
      <xdr:rowOff>121920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BDC2A8E4-5D5B-42CB-81D4-D3FA67417B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465820" y="2316480"/>
              <a:ext cx="3589020" cy="1965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396240</xdr:colOff>
      <xdr:row>23</xdr:row>
      <xdr:rowOff>144780</xdr:rowOff>
    </xdr:from>
    <xdr:to>
      <xdr:col>6</xdr:col>
      <xdr:colOff>190500</xdr:colOff>
      <xdr:row>33</xdr:row>
      <xdr:rowOff>45720</xdr:rowOff>
    </xdr:to>
    <xdr:graphicFrame macro="">
      <xdr:nvGraphicFramePr>
        <xdr:cNvPr id="38" name="Chart 37">
          <a:extLst>
            <a:ext uri="{FF2B5EF4-FFF2-40B4-BE49-F238E27FC236}">
              <a16:creationId xmlns:a16="http://schemas.microsoft.com/office/drawing/2014/main" id="{81FDF98E-D42B-4359-912B-10F2B3F73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297180</xdr:colOff>
      <xdr:row>23</xdr:row>
      <xdr:rowOff>175260</xdr:rowOff>
    </xdr:from>
    <xdr:to>
      <xdr:col>10</xdr:col>
      <xdr:colOff>647700</xdr:colOff>
      <xdr:row>34</xdr:row>
      <xdr:rowOff>7620</xdr:rowOff>
    </xdr:to>
    <xdr:graphicFrame macro="">
      <xdr:nvGraphicFramePr>
        <xdr:cNvPr id="40" name="Chart 39">
          <a:extLst>
            <a:ext uri="{FF2B5EF4-FFF2-40B4-BE49-F238E27FC236}">
              <a16:creationId xmlns:a16="http://schemas.microsoft.com/office/drawing/2014/main" id="{E28394DB-B32F-421F-84BA-EE808F753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xdr:colOff>
      <xdr:row>24</xdr:row>
      <xdr:rowOff>129540</xdr:rowOff>
    </xdr:from>
    <xdr:to>
      <xdr:col>14</xdr:col>
      <xdr:colOff>335280</xdr:colOff>
      <xdr:row>34</xdr:row>
      <xdr:rowOff>99060</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476D0BC6-DDB6-4D38-8446-85627513CA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399021" y="4884420"/>
              <a:ext cx="2346959" cy="1950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525780</xdr:colOff>
      <xdr:row>28</xdr:row>
      <xdr:rowOff>83820</xdr:rowOff>
    </xdr:from>
    <xdr:to>
      <xdr:col>18</xdr:col>
      <xdr:colOff>22860</xdr:colOff>
      <xdr:row>33</xdr:row>
      <xdr:rowOff>190500</xdr:rowOff>
    </xdr:to>
    <mc:AlternateContent xmlns:mc="http://schemas.openxmlformats.org/markup-compatibility/2006" xmlns:a14="http://schemas.microsoft.com/office/drawing/2010/main">
      <mc:Choice Requires="a14">
        <xdr:graphicFrame macro="">
          <xdr:nvGraphicFramePr>
            <xdr:cNvPr id="42" name="Education Field 4">
              <a:extLst>
                <a:ext uri="{FF2B5EF4-FFF2-40B4-BE49-F238E27FC236}">
                  <a16:creationId xmlns:a16="http://schemas.microsoft.com/office/drawing/2014/main" id="{05FEF85B-8CC9-455F-8950-98AA41868BB1}"/>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9936480" y="5631180"/>
              <a:ext cx="217932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533400</xdr:colOff>
      <xdr:row>22</xdr:row>
      <xdr:rowOff>38100</xdr:rowOff>
    </xdr:from>
    <xdr:to>
      <xdr:col>17</xdr:col>
      <xdr:colOff>662940</xdr:colOff>
      <xdr:row>28</xdr:row>
      <xdr:rowOff>83820</xdr:rowOff>
    </xdr:to>
    <mc:AlternateContent xmlns:mc="http://schemas.openxmlformats.org/markup-compatibility/2006" xmlns:a14="http://schemas.microsoft.com/office/drawing/2010/main">
      <mc:Choice Requires="a14">
        <xdr:graphicFrame macro="">
          <xdr:nvGraphicFramePr>
            <xdr:cNvPr id="43" name="Department 2">
              <a:extLst>
                <a:ext uri="{FF2B5EF4-FFF2-40B4-BE49-F238E27FC236}">
                  <a16:creationId xmlns:a16="http://schemas.microsoft.com/office/drawing/2014/main" id="{D089C397-E64D-47B6-91DC-6194840A180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944100" y="4396740"/>
              <a:ext cx="214122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xdr:row>
      <xdr:rowOff>22860</xdr:rowOff>
    </xdr:from>
    <xdr:to>
      <xdr:col>12</xdr:col>
      <xdr:colOff>419100</xdr:colOff>
      <xdr:row>4</xdr:row>
      <xdr:rowOff>129540</xdr:rowOff>
    </xdr:to>
    <xdr:pic>
      <xdr:nvPicPr>
        <xdr:cNvPr id="44" name="Graphic 43" descr="Star with solid fill">
          <a:extLst>
            <a:ext uri="{FF2B5EF4-FFF2-40B4-BE49-F238E27FC236}">
              <a16:creationId xmlns:a16="http://schemas.microsoft.com/office/drawing/2014/main" id="{31B00F5A-76E1-BDEE-BE44-A53387B60D4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069580" y="617220"/>
          <a:ext cx="419100" cy="304800"/>
        </a:xfrm>
        <a:prstGeom prst="rect">
          <a:avLst/>
        </a:prstGeom>
      </xdr:spPr>
    </xdr:pic>
    <xdr:clientData/>
  </xdr:twoCellAnchor>
  <xdr:twoCellAnchor editAs="oneCell">
    <xdr:from>
      <xdr:col>12</xdr:col>
      <xdr:colOff>297180</xdr:colOff>
      <xdr:row>3</xdr:row>
      <xdr:rowOff>22860</xdr:rowOff>
    </xdr:from>
    <xdr:to>
      <xdr:col>13</xdr:col>
      <xdr:colOff>129540</xdr:colOff>
      <xdr:row>4</xdr:row>
      <xdr:rowOff>114300</xdr:rowOff>
    </xdr:to>
    <xdr:pic>
      <xdr:nvPicPr>
        <xdr:cNvPr id="46" name="Graphic 45" descr="Star with solid fill">
          <a:extLst>
            <a:ext uri="{FF2B5EF4-FFF2-40B4-BE49-F238E27FC236}">
              <a16:creationId xmlns:a16="http://schemas.microsoft.com/office/drawing/2014/main" id="{C1F4A74F-8B5A-A31B-1908-5182698137A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366760" y="617220"/>
          <a:ext cx="502920" cy="289560"/>
        </a:xfrm>
        <a:prstGeom prst="rect">
          <a:avLst/>
        </a:prstGeom>
      </xdr:spPr>
    </xdr:pic>
    <xdr:clientData/>
  </xdr:twoCellAnchor>
  <xdr:twoCellAnchor editAs="oneCell">
    <xdr:from>
      <xdr:col>13</xdr:col>
      <xdr:colOff>22860</xdr:colOff>
      <xdr:row>3</xdr:row>
      <xdr:rowOff>22860</xdr:rowOff>
    </xdr:from>
    <xdr:to>
      <xdr:col>13</xdr:col>
      <xdr:colOff>396240</xdr:colOff>
      <xdr:row>4</xdr:row>
      <xdr:rowOff>144780</xdr:rowOff>
    </xdr:to>
    <xdr:pic>
      <xdr:nvPicPr>
        <xdr:cNvPr id="48" name="Graphic 47" descr="Star with solid fill">
          <a:extLst>
            <a:ext uri="{FF2B5EF4-FFF2-40B4-BE49-F238E27FC236}">
              <a16:creationId xmlns:a16="http://schemas.microsoft.com/office/drawing/2014/main" id="{8943D074-40B0-CD56-87B7-900A0261D5B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8763000" y="617220"/>
          <a:ext cx="373380" cy="320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137160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1013460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8260" y="2786380"/>
              <a:ext cx="10370820" cy="3903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00850" y="2786380"/>
              <a:ext cx="4739640" cy="2677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751840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706340" cy="79690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2.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3.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44823</xdr:colOff>
      <xdr:row>1</xdr:row>
      <xdr:rowOff>125505</xdr:rowOff>
    </xdr:from>
    <xdr:to>
      <xdr:col>22</xdr:col>
      <xdr:colOff>101973</xdr:colOff>
      <xdr:row>40</xdr:row>
      <xdr:rowOff>174825</xdr:rowOff>
    </xdr:to>
    <xdr:grpSp>
      <xdr:nvGrpSpPr>
        <xdr:cNvPr id="2" name="Group 1">
          <a:extLst>
            <a:ext uri="{FF2B5EF4-FFF2-40B4-BE49-F238E27FC236}">
              <a16:creationId xmlns:a16="http://schemas.microsoft.com/office/drawing/2014/main" id="{8BF90FB9-CC29-4059-8EFD-F1D1A7539155}"/>
            </a:ext>
          </a:extLst>
        </xdr:cNvPr>
        <xdr:cNvGrpSpPr/>
      </xdr:nvGrpSpPr>
      <xdr:grpSpPr>
        <a:xfrm>
          <a:off x="1389529" y="322729"/>
          <a:ext cx="13504209" cy="7741037"/>
          <a:chOff x="1752600" y="190500"/>
          <a:chExt cx="13468350" cy="7776000"/>
        </a:xfrm>
      </xdr:grpSpPr>
      <xdr:sp macro="" textlink="">
        <xdr:nvSpPr>
          <xdr:cNvPr id="3" name="Rectangle: Rounded Corners 2">
            <a:extLst>
              <a:ext uri="{FF2B5EF4-FFF2-40B4-BE49-F238E27FC236}">
                <a16:creationId xmlns:a16="http://schemas.microsoft.com/office/drawing/2014/main" id="{FD749A91-7D62-A3F3-6AFB-74C0D9FD4EAD}"/>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9A693270-8884-92A9-204A-4DF0601F4A49}"/>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3FD751-3D7F-C889-D90E-125AD9A9E49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45F1653E-D6F5-0924-724C-6D2D4F604869}"/>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21BBA3A-24BB-AFE3-920F-B4B6E6B94123}"/>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5286510-D71C-4986-F626-6AD81A3C8893}"/>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C35CE4F5-C072-E636-E441-56E58A6D014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1456B280-C922-45D3-CE8D-9A440284637A}"/>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987DFCD0-0CAB-B91D-459A-E26C699734D0}"/>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D1272B9-0878-F8D3-4199-14F69821207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6829A3E7-5D5C-26E4-2AC3-56E3C85EA5F7}"/>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F6D7417-3EA6-4085-8D22-866AD8716E66}"/>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9DCE2EC2-0D0E-3341-BDFB-50C7CF47A53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172B8AE-F2C7-FC1D-226E-49352A3AD121}"/>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F541BDB6-0F15-AC31-8F68-DDFDE21C5C4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75C26744-B5A9-47AA-0C33-5F9065BA410C}"/>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6F2A284-3AEA-DA84-62C6-A04F179CE5ED}"/>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9BC194A2-3386-F72B-AE2E-B1235C4F6CDC}"/>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F8DDEA1-47D7-BE5B-E416-82F5A8A98F91}"/>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31BCC615-83AB-C766-8A6A-214BD22DB6C9}"/>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A5CC493-0171-265A-5145-EFFAD86C7592}"/>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E4783F95-06CE-C0C5-3253-9A7B1700022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E108CA-04B7-E740-EA02-1FCC549BBFC1}"/>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1B8C24F-B14D-9D93-8E30-677372C2BC0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286871</xdr:colOff>
      <xdr:row>1</xdr:row>
      <xdr:rowOff>98611</xdr:rowOff>
    </xdr:from>
    <xdr:to>
      <xdr:col>22</xdr:col>
      <xdr:colOff>379880</xdr:colOff>
      <xdr:row>40</xdr:row>
      <xdr:rowOff>112969</xdr:rowOff>
    </xdr:to>
    <xdr:grpSp>
      <xdr:nvGrpSpPr>
        <xdr:cNvPr id="2" name="Group 1">
          <a:extLst>
            <a:ext uri="{FF2B5EF4-FFF2-40B4-BE49-F238E27FC236}">
              <a16:creationId xmlns:a16="http://schemas.microsoft.com/office/drawing/2014/main" id="{71BA81EA-B9D6-43F2-9D97-F24013EBAC89}"/>
            </a:ext>
          </a:extLst>
        </xdr:cNvPr>
        <xdr:cNvGrpSpPr/>
      </xdr:nvGrpSpPr>
      <xdr:grpSpPr>
        <a:xfrm>
          <a:off x="1631577" y="295835"/>
          <a:ext cx="13540068" cy="7706075"/>
          <a:chOff x="1752600" y="190500"/>
          <a:chExt cx="13468350" cy="7776000"/>
        </a:xfrm>
      </xdr:grpSpPr>
      <xdr:sp macro="" textlink="">
        <xdr:nvSpPr>
          <xdr:cNvPr id="3" name="Rectangle: Rounded Corners 2">
            <a:extLst>
              <a:ext uri="{FF2B5EF4-FFF2-40B4-BE49-F238E27FC236}">
                <a16:creationId xmlns:a16="http://schemas.microsoft.com/office/drawing/2014/main"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29A2973C-C0D6-8F63-5038-777A7BCA948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9CAEA69A-F00E-65BE-E792-4BAAA60DD1C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8FFF4A86-D885-D872-BC9D-4298EDA2F1F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B96EA871-2EC6-8699-AB59-CBC98C601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7E71B5DC-FEDD-4659-4E4C-29EA9F74AC9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8E913EC1-5668-DF3F-DD42-51E3FE1DCC0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464EEFE9-B1DD-E76E-4F4F-821262D601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304800</xdr:colOff>
      <xdr:row>0</xdr:row>
      <xdr:rowOff>0</xdr:rowOff>
    </xdr:from>
    <xdr:to>
      <xdr:col>21</xdr:col>
      <xdr:colOff>433668</xdr:colOff>
      <xdr:row>38</xdr:row>
      <xdr:rowOff>177515</xdr:rowOff>
    </xdr:to>
    <xdr:grpSp>
      <xdr:nvGrpSpPr>
        <xdr:cNvPr id="2" name="Group 1">
          <a:extLst>
            <a:ext uri="{FF2B5EF4-FFF2-40B4-BE49-F238E27FC236}">
              <a16:creationId xmlns:a16="http://schemas.microsoft.com/office/drawing/2014/main" id="{7D132E48-34D6-44B0-AE6A-C0377AC131DE}"/>
            </a:ext>
          </a:extLst>
        </xdr:cNvPr>
        <xdr:cNvGrpSpPr/>
      </xdr:nvGrpSpPr>
      <xdr:grpSpPr>
        <a:xfrm>
          <a:off x="977153" y="0"/>
          <a:ext cx="13575927" cy="7672009"/>
          <a:chOff x="1752600" y="190500"/>
          <a:chExt cx="13468350" cy="7776000"/>
        </a:xfrm>
      </xdr:grpSpPr>
      <xdr:sp macro="" textlink="">
        <xdr:nvSpPr>
          <xdr:cNvPr id="3" name="Rectangle: Rounded Corners 2">
            <a:extLst>
              <a:ext uri="{FF2B5EF4-FFF2-40B4-BE49-F238E27FC236}">
                <a16:creationId xmlns:a16="http://schemas.microsoft.com/office/drawing/2014/main" id="{AF893D47-E6D0-0B63-47C0-90782F41156F}"/>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460E3CA-9A58-C0CE-F3DB-F6F55E7D1943}"/>
              </a:ext>
            </a:extLst>
          </xdr:cNvPr>
          <xdr:cNvSpPr/>
        </xdr:nvSpPr>
        <xdr:spPr>
          <a:xfrm>
            <a:off x="1852449" y="270899"/>
            <a:ext cx="769160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B45172C-B976-0DCE-94FC-60386E4D00B0}"/>
              </a:ext>
            </a:extLst>
          </xdr:cNvPr>
          <xdr:cNvSpPr/>
        </xdr:nvSpPr>
        <xdr:spPr>
          <a:xfrm>
            <a:off x="9658349" y="270899"/>
            <a:ext cx="546735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77D37347-2164-5BF5-8F35-653B613EA5AD}"/>
              </a:ext>
            </a:extLst>
          </xdr:cNvPr>
          <xdr:cNvSpPr/>
        </xdr:nvSpPr>
        <xdr:spPr>
          <a:xfrm>
            <a:off x="5819774" y="2304895"/>
            <a:ext cx="481965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29D12A03-079C-6283-1E94-DBDD42B8AFC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D528A7B-9617-AB4E-86E2-8291270F7848}"/>
                </a:ext>
              </a:extLst>
            </xdr:cNvPr>
            <xdr:cNvSpPr/>
          </xdr:nvSpPr>
          <xdr:spPr>
            <a:xfrm>
              <a:off x="1846116"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F46C9C91-71AF-66F3-57CF-5997716BE98C}"/>
                </a:ext>
              </a:extLst>
            </xdr:cNvPr>
            <xdr:cNvSpPr/>
          </xdr:nvSpPr>
          <xdr:spPr>
            <a:xfrm>
              <a:off x="4546454"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CD901E5-4B60-DBB1-951C-CA52709C2D83}"/>
                </a:ext>
              </a:extLst>
            </xdr:cNvPr>
            <xdr:cNvSpPr/>
          </xdr:nvSpPr>
          <xdr:spPr>
            <a:xfrm>
              <a:off x="7246792"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2E265ADD-3966-3146-5C65-9A23C2032E8D}"/>
                </a:ext>
              </a:extLst>
            </xdr:cNvPr>
            <xdr:cNvSpPr/>
          </xdr:nvSpPr>
          <xdr:spPr>
            <a:xfrm>
              <a:off x="9947130"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A17D5170-8B19-40D5-3E23-C62BA2A71475}"/>
                </a:ext>
              </a:extLst>
            </xdr:cNvPr>
            <xdr:cNvSpPr/>
          </xdr:nvSpPr>
          <xdr:spPr>
            <a:xfrm>
              <a:off x="12647467"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9429E22F-1A3B-1EBA-E25D-9F77E3907984}"/>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6FDD4AB-B97B-CA2A-9738-7BBD87005A23}"/>
                </a:ext>
              </a:extLst>
            </xdr:cNvPr>
            <xdr:cNvSpPr/>
          </xdr:nvSpPr>
          <xdr:spPr>
            <a:xfrm>
              <a:off x="1847145" y="2304895"/>
              <a:ext cx="3867930"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1A72147C-D78E-6917-222D-F2B98A57F1CE}"/>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65E172FE-9064-5388-B78F-8B79D194603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C31B23F-D72B-DFA1-F232-7056EA5159BF}"/>
              </a:ext>
            </a:extLst>
          </xdr:cNvPr>
          <xdr:cNvSpPr/>
        </xdr:nvSpPr>
        <xdr:spPr>
          <a:xfrm>
            <a:off x="10744199" y="2304895"/>
            <a:ext cx="438150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FDE904DF-3DB9-3E6A-B570-D1F1649BE3B6}"/>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CC074CC-39F7-B9C6-C8DD-079B5A3D545E}"/>
              </a:ext>
            </a:extLst>
          </xdr:cNvPr>
          <xdr:cNvSpPr/>
        </xdr:nvSpPr>
        <xdr:spPr>
          <a:xfrm>
            <a:off x="1847145" y="2314575"/>
            <a:ext cx="3867930" cy="275466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E99657E2-B82E-75AC-7007-82153D912B0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5DC91AF2-0BE9-7149-1C95-B1C44BB21CD6}"/>
              </a:ext>
            </a:extLst>
          </xdr:cNvPr>
          <xdr:cNvSpPr/>
        </xdr:nvSpPr>
        <xdr:spPr>
          <a:xfrm>
            <a:off x="5809545" y="5162550"/>
            <a:ext cx="3564000" cy="2709509"/>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1E136DAE-284C-917E-5C26-883F925F64F7}"/>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D3E222C9-61AA-5722-1EA2-D075920B6BDE}"/>
              </a:ext>
            </a:extLst>
          </xdr:cNvPr>
          <xdr:cNvSpPr/>
        </xdr:nvSpPr>
        <xdr:spPr>
          <a:xfrm>
            <a:off x="9467145" y="5162550"/>
            <a:ext cx="2844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7DABA284-304A-CD4C-AE01-43EB707A1D37}"/>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387B9CE3-A3F8-0C1A-7BBD-37769B04EB6A}"/>
              </a:ext>
            </a:extLst>
          </xdr:cNvPr>
          <xdr:cNvSpPr/>
        </xdr:nvSpPr>
        <xdr:spPr>
          <a:xfrm>
            <a:off x="12419895" y="5162550"/>
            <a:ext cx="2700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14557E6F-96B5-5BD4-49B1-FD3CE21B2E3D}"/>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430306</xdr:colOff>
      <xdr:row>2</xdr:row>
      <xdr:rowOff>134472</xdr:rowOff>
    </xdr:from>
    <xdr:to>
      <xdr:col>21</xdr:col>
      <xdr:colOff>595033</xdr:colOff>
      <xdr:row>41</xdr:row>
      <xdr:rowOff>80697</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1102659" y="528919"/>
          <a:ext cx="13611786" cy="7637943"/>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9" y="2304895"/>
            <a:ext cx="438150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THAKUR" refreshedDate="46119.926049074071"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sortOrder="descending">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830FDFF2-5155-4209-89DE-406F4C49EA22}" cache="Slicer_Gender2" caption="Gender" style="SlicerStyleLight6" rowHeight="251883"/>
  <slicer name="Department 2" xr10:uid="{B55695C3-24EA-4A7C-9610-556F1975A673}" cache="Slicer_Department" caption="Department" style="SlicerStyleLight6" rowHeight="251883"/>
  <slicer name="Education Field 4" xr10:uid="{BAA947F8-81A3-4BAC-A9F4-F1F84C6599C2}" cache="Slicer_Education_Field2" caption="Education Field"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 Id="rId4" Type="http://schemas.microsoft.com/office/2007/relationships/slicer" Target="../slicers/slicer6.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2F5F-6330-4264-B75D-D71ECDA8D6DD}">
  <sheetPr>
    <pageSetUpPr fitToPage="1"/>
  </sheetPr>
  <dimension ref="A1"/>
  <sheetViews>
    <sheetView tabSelected="1" workbookViewId="0">
      <selection activeCell="T8" sqref="T8"/>
    </sheetView>
  </sheetViews>
  <sheetFormatPr defaultRowHeight="15.6" x14ac:dyDescent="0.3"/>
  <cols>
    <col min="2" max="2" width="9.09765625" customWidth="1"/>
  </cols>
  <sheetData/>
  <printOptions headings="1" gridLines="1"/>
  <pageMargins left="0.70866141732283472" right="0.70866141732283472" top="0.74803149606299213" bottom="0.74803149606299213" header="0.31496062992125984" footer="0.31496062992125984"/>
  <pageSetup paperSize="5" pageOrder="overThenDown" orientation="landscape" blackAndWhite="1"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2" activePane="bottomLeft" state="frozen"/>
      <selection pane="bottomLeft" activeCell="D7" sqref="D7"/>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B14" sqref="B14"/>
    </sheetView>
  </sheetViews>
  <sheetFormatPr defaultColWidth="11.19921875" defaultRowHeight="15.6" x14ac:dyDescent="0.3"/>
  <cols>
    <col min="1" max="1" width="24.5" bestFit="1" customWidth="1"/>
    <col min="2" max="2" width="22.796875" bestFit="1" customWidth="1"/>
    <col min="3" max="3" width="13.5" bestFit="1" customWidth="1"/>
    <col min="4" max="4" width="15.5" bestFit="1" customWidth="1"/>
    <col min="5" max="5" width="12.296875" bestFit="1" customWidth="1"/>
  </cols>
  <sheetData>
    <row r="3" spans="1:5" x14ac:dyDescent="0.3">
      <c r="A3" t="s">
        <v>1554</v>
      </c>
      <c r="B3" t="s">
        <v>1555</v>
      </c>
      <c r="C3" t="s">
        <v>1556</v>
      </c>
    </row>
    <row r="4" spans="1:5" x14ac:dyDescent="0.3">
      <c r="A4">
        <v>1470</v>
      </c>
      <c r="B4">
        <v>237</v>
      </c>
      <c r="C4">
        <v>36.923809523809524</v>
      </c>
    </row>
    <row r="6" spans="1:5" x14ac:dyDescent="0.3">
      <c r="A6" s="1" t="s">
        <v>1557</v>
      </c>
      <c r="B6" s="1" t="s">
        <v>1558</v>
      </c>
      <c r="C6" s="1" t="s">
        <v>1559</v>
      </c>
      <c r="D6" s="1" t="s">
        <v>1560</v>
      </c>
      <c r="E6" s="1" t="s">
        <v>1561</v>
      </c>
    </row>
    <row r="7" spans="1:5" x14ac:dyDescent="0.3">
      <c r="A7">
        <f>GETPIVOTDATA("Count of Employee Number",$A$3)</f>
        <v>1470</v>
      </c>
      <c r="B7">
        <f>GETPIVOTDATA("Sum of CF_attrition count",$A$3)</f>
        <v>237</v>
      </c>
      <c r="C7" s="4">
        <f>GETPIVOTDATA("Average of Age",$A$3)</f>
        <v>36.923809523809524</v>
      </c>
      <c r="D7">
        <f>GETPIVOTDATA("Count of Employee Number",$A$3)-GETPIVOTDATA("Sum of CF_attrition count",$A$3)</f>
        <v>1233</v>
      </c>
      <c r="E7" s="3">
        <f>GETPIVOTDATA("Sum of CF_attrition count",$A$3)/GETPIVOTDATA("Count of Employee Number",$A$3)</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E14" sqref="E14"/>
    </sheetView>
  </sheetViews>
  <sheetFormatPr defaultColWidth="11.19921875" defaultRowHeight="15.6" x14ac:dyDescent="0.3"/>
  <cols>
    <col min="1" max="1" width="23.69921875" bestFit="1" customWidth="1"/>
  </cols>
  <sheetData>
    <row r="3" spans="1:3" x14ac:dyDescent="0.3">
      <c r="A3" t="s">
        <v>1562</v>
      </c>
    </row>
    <row r="4" spans="1:3" x14ac:dyDescent="0.3">
      <c r="A4" s="4">
        <v>2.6265306122448981</v>
      </c>
    </row>
    <row r="6" spans="1:3" x14ac:dyDescent="0.3">
      <c r="A6" t="s">
        <v>1563</v>
      </c>
      <c r="B6" s="4">
        <f>GETPIVOTDATA("Job Satisfaction",$A$3)</f>
        <v>2.6265306122448981</v>
      </c>
      <c r="C6" s="3">
        <f>B6/4</f>
        <v>0.65663265306122454</v>
      </c>
    </row>
    <row r="7" spans="1:3" x14ac:dyDescent="0.3">
      <c r="A7" s="4" t="s">
        <v>1564</v>
      </c>
      <c r="B7" s="4">
        <f>4-B6</f>
        <v>1.3734693877551019</v>
      </c>
      <c r="C7" s="3">
        <f>B7/4</f>
        <v>0.34336734693877546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topLeftCell="A6" zoomScaleNormal="100" workbookViewId="0">
      <selection activeCell="S11" sqref="S11"/>
    </sheetView>
  </sheetViews>
  <sheetFormatPr defaultColWidth="11.19921875" defaultRowHeight="15.6" x14ac:dyDescent="0.3"/>
  <cols>
    <col min="1" max="1" width="12.296875" bestFit="1" customWidth="1"/>
    <col min="2" max="2" width="24.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3" x14ac:dyDescent="0.3">
      <c r="A3" s="6" t="s">
        <v>1565</v>
      </c>
      <c r="B3" t="s">
        <v>1554</v>
      </c>
    </row>
    <row r="4" spans="1:3" x14ac:dyDescent="0.3">
      <c r="A4" s="7" t="s">
        <v>51</v>
      </c>
      <c r="B4">
        <v>588</v>
      </c>
    </row>
    <row r="5" spans="1:3" x14ac:dyDescent="0.3">
      <c r="A5" s="7" t="s">
        <v>62</v>
      </c>
      <c r="B5">
        <v>882</v>
      </c>
    </row>
    <row r="6" spans="1:3" x14ac:dyDescent="0.3">
      <c r="A6" s="7" t="s">
        <v>1566</v>
      </c>
      <c r="B6">
        <v>1470</v>
      </c>
    </row>
    <row r="11" spans="1:3" x14ac:dyDescent="0.3">
      <c r="A11" t="s">
        <v>51</v>
      </c>
      <c r="B11">
        <f>IFERROR(GETPIVOTDATA("Employee Number",$A$3,"Gender","Female"),0)</f>
        <v>588</v>
      </c>
      <c r="C11" s="2">
        <f>IFERROR(B11/($B$11+$B$12),0)</f>
        <v>0.4</v>
      </c>
    </row>
    <row r="12" spans="1:3" x14ac:dyDescent="0.3">
      <c r="A12" t="s">
        <v>62</v>
      </c>
      <c r="B12">
        <f>IFERROR(GETPIVOTDATA("Employee Number",$A$3,"Gender","Male"),0)</f>
        <v>882</v>
      </c>
      <c r="C12" s="2">
        <f>IFERROR(B12/($B$11+$B$12),0)</f>
        <v>0.6</v>
      </c>
    </row>
    <row r="13" spans="1:3" x14ac:dyDescent="0.3">
      <c r="C13" s="3"/>
    </row>
    <row r="16" spans="1:3" x14ac:dyDescent="0.3">
      <c r="C16" s="3"/>
    </row>
    <row r="17" spans="3:3" x14ac:dyDescent="0.3">
      <c r="C17" s="3"/>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 workbookViewId="0">
      <selection activeCell="N32" sqref="N32"/>
    </sheetView>
  </sheetViews>
  <sheetFormatPr defaultColWidth="11.19921875" defaultRowHeight="15.6" x14ac:dyDescent="0.3"/>
  <cols>
    <col min="1" max="1" width="16" bestFit="1" customWidth="1"/>
    <col min="2" max="2" width="22.796875" bestFit="1" customWidth="1"/>
    <col min="3" max="3" width="22.5" bestFit="1" customWidth="1"/>
  </cols>
  <sheetData>
    <row r="3" spans="1:2" x14ac:dyDescent="0.3">
      <c r="A3" s="6" t="s">
        <v>1565</v>
      </c>
      <c r="B3" t="s">
        <v>1555</v>
      </c>
    </row>
    <row r="4" spans="1:2" x14ac:dyDescent="0.3">
      <c r="A4" s="7" t="s">
        <v>134</v>
      </c>
      <c r="B4">
        <v>5</v>
      </c>
    </row>
    <row r="5" spans="1:2" x14ac:dyDescent="0.3">
      <c r="A5" s="7" t="s">
        <v>65</v>
      </c>
      <c r="B5">
        <v>31</v>
      </c>
    </row>
    <row r="6" spans="1:2" x14ac:dyDescent="0.3">
      <c r="A6" s="7" t="s">
        <v>55</v>
      </c>
      <c r="B6">
        <v>44</v>
      </c>
    </row>
    <row r="7" spans="1:2" x14ac:dyDescent="0.3">
      <c r="A7" s="7" t="s">
        <v>71</v>
      </c>
      <c r="B7">
        <v>58</v>
      </c>
    </row>
    <row r="8" spans="1:2" x14ac:dyDescent="0.3">
      <c r="A8" s="7" t="s">
        <v>77</v>
      </c>
      <c r="B8">
        <v>99</v>
      </c>
    </row>
    <row r="9" spans="1:2" x14ac:dyDescent="0.3">
      <c r="A9" s="7" t="s">
        <v>1566</v>
      </c>
      <c r="B9">
        <v>237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workbookViewId="0">
      <selection activeCell="B4" sqref="B4"/>
    </sheetView>
  </sheetViews>
  <sheetFormatPr defaultColWidth="11.19921875" defaultRowHeight="15.6" x14ac:dyDescent="0.3"/>
  <cols>
    <col min="1" max="1" width="23.296875" bestFit="1" customWidth="1"/>
    <col min="2" max="2" width="24.296875" bestFit="1" customWidth="1"/>
    <col min="5" max="5" width="23.19921875" bestFit="1" customWidth="1"/>
  </cols>
  <sheetData>
    <row r="3" spans="1:6" x14ac:dyDescent="0.3">
      <c r="A3" s="6" t="s">
        <v>1565</v>
      </c>
      <c r="B3" t="s">
        <v>1567</v>
      </c>
      <c r="E3" t="s">
        <v>9</v>
      </c>
      <c r="F3" t="s">
        <v>0</v>
      </c>
    </row>
    <row r="4" spans="1:6" x14ac:dyDescent="0.3">
      <c r="A4" s="7" t="s">
        <v>83</v>
      </c>
      <c r="B4">
        <v>131</v>
      </c>
      <c r="E4" t="str">
        <f>A4</f>
        <v>Healthcare Representative</v>
      </c>
      <c r="F4">
        <f>GETPIVOTDATA("CF_attrition count",$A$3,"Job Role","Healthcare Representative")</f>
        <v>131</v>
      </c>
    </row>
    <row r="5" spans="1:6" x14ac:dyDescent="0.3">
      <c r="A5" s="7" t="s">
        <v>163</v>
      </c>
      <c r="B5">
        <v>52</v>
      </c>
      <c r="E5" t="str">
        <f t="shared" ref="E5:E12" si="0">A5</f>
        <v>Human Resources</v>
      </c>
      <c r="F5">
        <f>GETPIVOTDATA("CF_attrition count",$A$3,"Job Role","Human Resources")</f>
        <v>52</v>
      </c>
    </row>
    <row r="6" spans="1:6" x14ac:dyDescent="0.3">
      <c r="A6" s="7" t="s">
        <v>68</v>
      </c>
      <c r="B6">
        <v>259</v>
      </c>
      <c r="E6" t="str">
        <f t="shared" si="0"/>
        <v>Laboratory Technician</v>
      </c>
      <c r="F6">
        <f>GETPIVOTDATA("CF_attrition count",$A$3,"Job Role","Laboratory Technician")</f>
        <v>259</v>
      </c>
    </row>
    <row r="7" spans="1:6" x14ac:dyDescent="0.3">
      <c r="A7" s="7" t="s">
        <v>95</v>
      </c>
      <c r="B7">
        <v>102</v>
      </c>
      <c r="E7" t="str">
        <f t="shared" si="0"/>
        <v>Manager</v>
      </c>
      <c r="F7">
        <f>GETPIVOTDATA("CF_attrition count",$A$3,"Job Role","Manager")</f>
        <v>102</v>
      </c>
    </row>
    <row r="8" spans="1:6" x14ac:dyDescent="0.3">
      <c r="A8" s="7" t="s">
        <v>81</v>
      </c>
      <c r="B8">
        <v>145</v>
      </c>
      <c r="E8" t="str">
        <f t="shared" si="0"/>
        <v>Manufacturing Director</v>
      </c>
      <c r="F8">
        <f>GETPIVOTDATA("CF_attrition count",$A$3,"Job Role","Manufacturing Director")</f>
        <v>145</v>
      </c>
    </row>
    <row r="9" spans="1:6" x14ac:dyDescent="0.3">
      <c r="A9" s="7" t="s">
        <v>101</v>
      </c>
      <c r="B9">
        <v>80</v>
      </c>
      <c r="E9" t="str">
        <f t="shared" si="0"/>
        <v>Research Director</v>
      </c>
      <c r="F9">
        <f>GETPIVOTDATA("CF_attrition count",$A$3,"Job Role","Research Director")</f>
        <v>80</v>
      </c>
    </row>
    <row r="10" spans="1:6" x14ac:dyDescent="0.3">
      <c r="A10" s="7" t="s">
        <v>63</v>
      </c>
      <c r="B10">
        <v>292</v>
      </c>
      <c r="E10" t="str">
        <f t="shared" si="0"/>
        <v>Research Scientist</v>
      </c>
      <c r="F10">
        <f>GETPIVOTDATA("CF_attrition count",$A$3,"Job Role","Research Scientist")</f>
        <v>292</v>
      </c>
    </row>
    <row r="11" spans="1:6" x14ac:dyDescent="0.3">
      <c r="A11" s="7" t="s">
        <v>52</v>
      </c>
      <c r="B11">
        <v>326</v>
      </c>
      <c r="E11" t="str">
        <f t="shared" si="0"/>
        <v>Sales Executive</v>
      </c>
      <c r="F11">
        <f>GETPIVOTDATA("CF_attrition count",$A$3,"Job Role","Sales Executive")</f>
        <v>326</v>
      </c>
    </row>
    <row r="12" spans="1:6" x14ac:dyDescent="0.3">
      <c r="A12" s="7" t="s">
        <v>99</v>
      </c>
      <c r="B12">
        <v>83</v>
      </c>
      <c r="E12" t="str">
        <f t="shared" si="0"/>
        <v>Sales Representative</v>
      </c>
      <c r="F12">
        <f>GETPIVOTDATA("CF_attrition count",$A$3,"Job Role","Sales Representative")</f>
        <v>83</v>
      </c>
    </row>
    <row r="13" spans="1:6" x14ac:dyDescent="0.3">
      <c r="A13" s="7" t="s">
        <v>1566</v>
      </c>
      <c r="B13">
        <v>1470</v>
      </c>
    </row>
  </sheetData>
  <pageMargins left="0.7" right="0.7" top="0.75" bottom="0.75" header="0.3" footer="0.3"/>
  <pageSetup orientation="portrait" r:id="rId2"/>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B11" sqref="B11"/>
    </sheetView>
  </sheetViews>
  <sheetFormatPr defaultColWidth="11.19921875" defaultRowHeight="15.6" x14ac:dyDescent="0.3"/>
  <cols>
    <col min="1" max="1" width="12.296875" bestFit="1" customWidth="1"/>
    <col min="2" max="2" width="22.796875" bestFit="1" customWidth="1"/>
    <col min="4" max="4" width="11" bestFit="1" customWidth="1"/>
  </cols>
  <sheetData>
    <row r="3" spans="1:6" x14ac:dyDescent="0.3">
      <c r="A3" s="6" t="s">
        <v>1565</v>
      </c>
      <c r="B3" t="s">
        <v>1555</v>
      </c>
      <c r="D3" t="s">
        <v>4</v>
      </c>
      <c r="E3" t="s">
        <v>0</v>
      </c>
      <c r="F3" t="s">
        <v>1568</v>
      </c>
    </row>
    <row r="4" spans="1:6" x14ac:dyDescent="0.3">
      <c r="A4" s="7" t="s">
        <v>161</v>
      </c>
      <c r="B4">
        <v>12</v>
      </c>
      <c r="D4" t="str">
        <f>A4</f>
        <v>HR</v>
      </c>
      <c r="E4">
        <f>GETPIVOTDATA("CF_attrition count",$A$3,"Department",A4)</f>
        <v>12</v>
      </c>
      <c r="F4" s="3">
        <f>E4/GETPIVOTDATA("CF_attrition count",$A$3)</f>
        <v>5.0632911392405063E-2</v>
      </c>
    </row>
    <row r="5" spans="1:6" x14ac:dyDescent="0.3">
      <c r="A5" s="7" t="s">
        <v>60</v>
      </c>
      <c r="B5">
        <v>133</v>
      </c>
      <c r="D5" t="str">
        <f t="shared" ref="D5:D6" si="0">A5</f>
        <v>R&amp;D</v>
      </c>
      <c r="E5">
        <f t="shared" ref="E5:E6" si="1">GETPIVOTDATA("CF_attrition count",$A$3,"Department",A5)</f>
        <v>133</v>
      </c>
      <c r="F5" s="3">
        <f>E5/GETPIVOTDATA("CF_attrition count",$A$3)</f>
        <v>0.56118143459915615</v>
      </c>
    </row>
    <row r="6" spans="1:6" x14ac:dyDescent="0.3">
      <c r="A6" s="7" t="s">
        <v>48</v>
      </c>
      <c r="B6">
        <v>92</v>
      </c>
      <c r="D6" t="str">
        <f t="shared" si="0"/>
        <v>Sales</v>
      </c>
      <c r="E6">
        <f t="shared" si="1"/>
        <v>92</v>
      </c>
      <c r="F6" s="3">
        <f>E6/GETPIVOTDATA("CF_attrition count",$A$3)</f>
        <v>0.3881856540084388</v>
      </c>
    </row>
    <row r="7" spans="1:6" x14ac:dyDescent="0.3">
      <c r="A7" s="7" t="s">
        <v>1566</v>
      </c>
      <c r="B7">
        <v>237</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topLeftCell="A10" workbookViewId="0">
      <selection activeCell="K18" sqref="K18"/>
    </sheetView>
  </sheetViews>
  <sheetFormatPr defaultColWidth="11.19921875" defaultRowHeight="15.6" x14ac:dyDescent="0.3"/>
  <cols>
    <col min="1" max="1" width="12.296875" bestFit="1" customWidth="1"/>
    <col min="2" max="2" width="24.296875" bestFit="1" customWidth="1"/>
    <col min="3" max="3" width="19.19921875" bestFit="1" customWidth="1"/>
  </cols>
  <sheetData>
    <row r="3" spans="1:2" x14ac:dyDescent="0.3">
      <c r="A3" s="6" t="s">
        <v>1565</v>
      </c>
      <c r="B3" t="s">
        <v>1567</v>
      </c>
    </row>
    <row r="4" spans="1:2" x14ac:dyDescent="0.3">
      <c r="A4" s="7" t="s">
        <v>69</v>
      </c>
      <c r="B4">
        <v>554</v>
      </c>
    </row>
    <row r="5" spans="1:2" x14ac:dyDescent="0.3">
      <c r="A5" s="7" t="s">
        <v>46</v>
      </c>
      <c r="B5">
        <v>505</v>
      </c>
    </row>
    <row r="6" spans="1:2" x14ac:dyDescent="0.3">
      <c r="A6" s="7" t="s">
        <v>58</v>
      </c>
      <c r="B6">
        <v>245</v>
      </c>
    </row>
    <row r="7" spans="1:2" x14ac:dyDescent="0.3">
      <c r="A7" s="7" t="s">
        <v>92</v>
      </c>
      <c r="B7">
        <v>97</v>
      </c>
    </row>
    <row r="8" spans="1:2" x14ac:dyDescent="0.3">
      <c r="A8" s="7" t="s">
        <v>75</v>
      </c>
      <c r="B8">
        <v>69</v>
      </c>
    </row>
    <row r="9" spans="1:2" x14ac:dyDescent="0.3">
      <c r="A9" s="7" t="s">
        <v>1566</v>
      </c>
      <c r="B9">
        <v>1470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topLeftCell="A4" workbookViewId="0">
      <selection activeCell="N12" sqref="N12"/>
    </sheetView>
  </sheetViews>
  <sheetFormatPr defaultColWidth="11.19921875" defaultRowHeight="15.6" x14ac:dyDescent="0.3"/>
  <cols>
    <col min="1" max="1" width="12.296875" bestFit="1" customWidth="1"/>
    <col min="2" max="2" width="24.296875" bestFit="1" customWidth="1"/>
    <col min="4" max="4" width="12.796875" bestFit="1" customWidth="1"/>
  </cols>
  <sheetData>
    <row r="3" spans="1:5" x14ac:dyDescent="0.3">
      <c r="A3" s="6" t="s">
        <v>1565</v>
      </c>
      <c r="B3" t="s">
        <v>1567</v>
      </c>
      <c r="D3" t="s">
        <v>10</v>
      </c>
      <c r="E3" t="s">
        <v>0</v>
      </c>
    </row>
    <row r="4" spans="1:5" x14ac:dyDescent="0.3">
      <c r="A4" s="7" t="s">
        <v>79</v>
      </c>
      <c r="B4">
        <v>327</v>
      </c>
      <c r="D4" t="str">
        <f>A4</f>
        <v>Divorced</v>
      </c>
      <c r="E4">
        <f>GETPIVOTDATA("CF_attrition count",$A$3,"Marital Status",A4)</f>
        <v>327</v>
      </c>
    </row>
    <row r="5" spans="1:5" x14ac:dyDescent="0.3">
      <c r="A5" s="7" t="s">
        <v>53</v>
      </c>
      <c r="B5">
        <v>470</v>
      </c>
      <c r="D5" t="str">
        <f t="shared" ref="D5:D6" si="0">A5</f>
        <v>Single</v>
      </c>
      <c r="E5">
        <f t="shared" ref="E5:E6" si="1">GETPIVOTDATA("CF_attrition count",$A$3,"Marital Status",A5)</f>
        <v>470</v>
      </c>
    </row>
    <row r="6" spans="1:5" x14ac:dyDescent="0.3">
      <c r="A6" s="7" t="s">
        <v>64</v>
      </c>
      <c r="B6">
        <v>673</v>
      </c>
      <c r="D6" t="str">
        <f t="shared" si="0"/>
        <v>Married</v>
      </c>
      <c r="E6">
        <f t="shared" si="1"/>
        <v>673</v>
      </c>
    </row>
    <row r="7" spans="1:5" x14ac:dyDescent="0.3">
      <c r="A7" s="7" t="s">
        <v>1566</v>
      </c>
      <c r="B7">
        <v>1470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zoomScaleNormal="100" workbookViewId="0">
      <selection activeCell="A29" sqref="A29"/>
    </sheetView>
  </sheetViews>
  <sheetFormatPr defaultColWidth="11.19921875" defaultRowHeight="15.6"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row r="40" spans="1:24" x14ac:dyDescent="0.3">
      <c r="A40" s="5"/>
      <c r="B40" s="5"/>
      <c r="C40" s="5"/>
      <c r="D40" s="5"/>
      <c r="E40" s="5"/>
      <c r="F40" s="5"/>
      <c r="G40" s="5"/>
      <c r="H40" s="5"/>
      <c r="I40" s="5"/>
      <c r="J40" s="5"/>
      <c r="K40" s="5"/>
      <c r="L40" s="5"/>
      <c r="M40" s="5"/>
      <c r="N40" s="5"/>
      <c r="O40" s="5"/>
      <c r="P40" s="5"/>
      <c r="Q40" s="5"/>
      <c r="R40" s="5"/>
      <c r="S40" s="5"/>
      <c r="T40" s="5"/>
      <c r="U40" s="5"/>
      <c r="V40" s="5"/>
      <c r="W40" s="5"/>
      <c r="X40" s="5"/>
    </row>
    <row r="41" spans="1:24" x14ac:dyDescent="0.3">
      <c r="A41" s="5"/>
      <c r="B41" s="5"/>
      <c r="C41" s="5"/>
      <c r="D41" s="5"/>
      <c r="E41" s="5"/>
      <c r="F41" s="5"/>
      <c r="G41" s="5"/>
      <c r="H41" s="5"/>
      <c r="I41" s="5"/>
      <c r="J41" s="5"/>
      <c r="K41" s="5"/>
      <c r="L41" s="5"/>
      <c r="M41" s="5"/>
      <c r="N41" s="5"/>
      <c r="O41" s="5"/>
      <c r="P41" s="5"/>
      <c r="Q41" s="5"/>
      <c r="R41" s="5"/>
      <c r="S41" s="5"/>
      <c r="T41" s="5"/>
      <c r="U41" s="5"/>
      <c r="V41" s="5"/>
      <c r="W41" s="5"/>
      <c r="X41" s="5"/>
    </row>
    <row r="42" spans="1:24" x14ac:dyDescent="0.3">
      <c r="A42" s="5"/>
      <c r="B42" s="5"/>
      <c r="C42" s="5"/>
      <c r="D42" s="5"/>
      <c r="E42" s="5"/>
      <c r="F42" s="5"/>
      <c r="G42" s="5"/>
      <c r="H42" s="5"/>
      <c r="I42" s="5"/>
      <c r="J42" s="5"/>
      <c r="K42" s="5"/>
      <c r="L42" s="5"/>
      <c r="M42" s="5"/>
      <c r="N42" s="5"/>
      <c r="O42" s="5"/>
      <c r="P42" s="5"/>
      <c r="Q42" s="5"/>
      <c r="R42" s="5"/>
      <c r="S42" s="5"/>
      <c r="T42" s="5"/>
      <c r="U42" s="5"/>
      <c r="V42" s="5"/>
      <c r="W42" s="5"/>
      <c r="X42" s="5"/>
    </row>
    <row r="43" spans="1:24" x14ac:dyDescent="0.3">
      <c r="A43" s="5"/>
      <c r="B43" s="5"/>
      <c r="C43" s="5"/>
      <c r="D43" s="5"/>
      <c r="E43" s="5"/>
      <c r="F43" s="5"/>
      <c r="G43" s="5"/>
      <c r="H43" s="5"/>
      <c r="I43" s="5"/>
      <c r="J43" s="5"/>
      <c r="K43" s="5"/>
      <c r="L43" s="5"/>
      <c r="M43" s="5"/>
      <c r="N43" s="5"/>
      <c r="O43" s="5"/>
      <c r="P43" s="5"/>
      <c r="Q43" s="5"/>
      <c r="R43" s="5"/>
      <c r="S43" s="5"/>
      <c r="T43" s="5"/>
      <c r="U43" s="5"/>
      <c r="V43" s="5"/>
      <c r="W43" s="5"/>
      <c r="X43" s="5"/>
    </row>
    <row r="44" spans="1:24" x14ac:dyDescent="0.3">
      <c r="A44" s="5"/>
      <c r="B44" s="5"/>
      <c r="C44" s="5"/>
      <c r="D44" s="5"/>
      <c r="E44" s="5"/>
      <c r="F44" s="5"/>
      <c r="G44" s="5"/>
      <c r="H44" s="5"/>
      <c r="I44" s="5"/>
      <c r="J44" s="5"/>
      <c r="K44" s="5"/>
      <c r="L44" s="5"/>
      <c r="M44" s="5"/>
      <c r="N44" s="5"/>
      <c r="O44" s="5"/>
      <c r="P44" s="5"/>
      <c r="Q44" s="5"/>
      <c r="R44" s="5"/>
      <c r="S44" s="5"/>
      <c r="T44" s="5"/>
      <c r="U44" s="5"/>
      <c r="V44" s="5"/>
      <c r="W44" s="5"/>
      <c r="X44" s="5"/>
    </row>
    <row r="45" spans="1:24" x14ac:dyDescent="0.3">
      <c r="A45" s="5"/>
      <c r="B45" s="5"/>
      <c r="C45" s="5"/>
      <c r="D45" s="5"/>
      <c r="E45" s="5"/>
      <c r="F45" s="5"/>
      <c r="G45" s="5"/>
      <c r="H45" s="5"/>
      <c r="I45" s="5"/>
      <c r="J45" s="5"/>
      <c r="K45" s="5"/>
      <c r="L45" s="5"/>
      <c r="M45" s="5"/>
      <c r="N45" s="5"/>
      <c r="O45" s="5"/>
      <c r="P45" s="5"/>
      <c r="Q45" s="5"/>
      <c r="R45" s="5"/>
      <c r="S45" s="5"/>
      <c r="T45" s="5"/>
      <c r="U45" s="5"/>
      <c r="V45" s="5"/>
      <c r="W45" s="5"/>
      <c r="X45" s="5"/>
    </row>
    <row r="46" spans="1:24" x14ac:dyDescent="0.3">
      <c r="A46" s="5"/>
      <c r="B46" s="5"/>
      <c r="C46" s="5"/>
      <c r="D46" s="5"/>
      <c r="E46" s="5"/>
      <c r="F46" s="5"/>
      <c r="G46" s="5"/>
      <c r="H46" s="5"/>
      <c r="I46" s="5"/>
      <c r="J46" s="5"/>
      <c r="K46" s="5"/>
      <c r="L46" s="5"/>
      <c r="M46" s="5"/>
      <c r="N46" s="5"/>
      <c r="O46" s="5"/>
      <c r="P46" s="5"/>
      <c r="Q46" s="5"/>
      <c r="R46" s="5"/>
      <c r="S46" s="5"/>
      <c r="T46" s="5"/>
      <c r="U46" s="5"/>
      <c r="V46" s="5"/>
      <c r="W46" s="5"/>
      <c r="X46" s="5"/>
    </row>
    <row r="47" spans="1:24" x14ac:dyDescent="0.3">
      <c r="A47" s="5"/>
      <c r="B47" s="5"/>
      <c r="C47" s="5"/>
      <c r="D47" s="5"/>
      <c r="E47" s="5"/>
      <c r="F47" s="5"/>
      <c r="G47" s="5"/>
      <c r="H47" s="5"/>
      <c r="I47" s="5"/>
      <c r="J47" s="5"/>
      <c r="K47" s="5"/>
      <c r="L47" s="5"/>
      <c r="M47" s="5"/>
      <c r="N47" s="5"/>
      <c r="O47" s="5"/>
      <c r="P47" s="5"/>
      <c r="Q47" s="5"/>
      <c r="R47" s="5"/>
      <c r="S47" s="5"/>
      <c r="T47" s="5"/>
      <c r="U47" s="5"/>
      <c r="V47" s="5"/>
      <c r="W47" s="5"/>
      <c r="X47" s="5"/>
    </row>
    <row r="48" spans="1:24" x14ac:dyDescent="0.3">
      <c r="A48" s="5"/>
      <c r="B48" s="5"/>
      <c r="C48" s="5"/>
      <c r="D48" s="5"/>
      <c r="E48" s="5"/>
      <c r="F48" s="5"/>
      <c r="G48" s="5"/>
      <c r="H48" s="5"/>
      <c r="I48" s="5"/>
      <c r="J48" s="5"/>
      <c r="K48" s="5"/>
      <c r="L48" s="5"/>
      <c r="M48" s="5"/>
      <c r="N48" s="5"/>
      <c r="O48" s="5"/>
      <c r="P48" s="5"/>
      <c r="Q48" s="5"/>
      <c r="R48" s="5"/>
      <c r="S48" s="5"/>
      <c r="T48" s="5"/>
      <c r="U48" s="5"/>
      <c r="V48" s="5"/>
      <c r="W48" s="5"/>
      <c r="X48" s="5"/>
    </row>
    <row r="49" spans="1:24" x14ac:dyDescent="0.3">
      <c r="A49" s="5"/>
      <c r="B49" s="5"/>
      <c r="C49" s="5"/>
      <c r="D49" s="5"/>
      <c r="E49" s="5"/>
      <c r="F49" s="5"/>
      <c r="G49" s="5"/>
      <c r="H49" s="5"/>
      <c r="I49" s="5"/>
      <c r="J49" s="5"/>
      <c r="K49" s="5"/>
      <c r="L49" s="5"/>
      <c r="M49" s="5"/>
      <c r="N49" s="5"/>
      <c r="O49" s="5"/>
      <c r="P49" s="5"/>
      <c r="Q49" s="5"/>
      <c r="R49" s="5"/>
      <c r="S49" s="5"/>
      <c r="T49" s="5"/>
      <c r="U49" s="5"/>
      <c r="V49" s="5"/>
      <c r="W49" s="5"/>
      <c r="X49" s="5"/>
    </row>
    <row r="50" spans="1:24" x14ac:dyDescent="0.3">
      <c r="A50" s="5"/>
      <c r="B50" s="5"/>
      <c r="C50" s="5"/>
      <c r="D50" s="5"/>
      <c r="E50" s="5"/>
      <c r="F50" s="5"/>
      <c r="G50" s="5"/>
      <c r="H50" s="5"/>
      <c r="I50" s="5"/>
      <c r="J50" s="5"/>
      <c r="K50" s="5"/>
      <c r="L50" s="5"/>
      <c r="M50" s="5"/>
      <c r="N50" s="5"/>
      <c r="O50" s="5"/>
      <c r="P50" s="5"/>
      <c r="Q50" s="5"/>
      <c r="R50" s="5"/>
      <c r="S50" s="5"/>
      <c r="T50" s="5"/>
      <c r="U50" s="5"/>
      <c r="V50" s="5"/>
      <c r="W50" s="5"/>
      <c r="X50"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topLeftCell="A2" workbookViewId="0">
      <selection activeCell="E22" sqref="E21:E22"/>
    </sheetView>
  </sheetViews>
  <sheetFormatPr defaultColWidth="8.796875" defaultRowHeight="15.6" x14ac:dyDescent="0.3"/>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48F9-B964-4BC3-9C58-BA74FD1D055B}">
  <dimension ref="A1"/>
  <sheetViews>
    <sheetView zoomScale="85" zoomScaleNormal="85" workbookViewId="0">
      <selection activeCell="W16" sqref="W16"/>
    </sheetView>
  </sheetViews>
  <sheetFormatPr defaultColWidth="8.796875" defaultRowHeight="15.6" x14ac:dyDescent="0.3"/>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1B4-8441-4306-BEA4-4A860BA393B0}">
  <dimension ref="A1"/>
  <sheetViews>
    <sheetView zoomScale="85" zoomScaleNormal="85" workbookViewId="0">
      <selection activeCell="X8" sqref="X8"/>
    </sheetView>
  </sheetViews>
  <sheetFormatPr defaultColWidth="8.796875" defaultRowHeight="15.6" x14ac:dyDescent="0.3"/>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ACB-EB4A-48A1-BF1F-4466B4F4CBD6}">
  <dimension ref="A1"/>
  <sheetViews>
    <sheetView zoomScale="85" zoomScaleNormal="85" workbookViewId="0">
      <selection activeCell="H44" sqref="H44"/>
    </sheetView>
  </sheetViews>
  <sheetFormatPr defaultColWidth="8.796875" defaultRowHeight="15.6" x14ac:dyDescent="0.3"/>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dimension ref="A1"/>
  <sheetViews>
    <sheetView zoomScale="85" zoomScaleNormal="85" workbookViewId="0">
      <selection activeCell="B27" sqref="B27"/>
    </sheetView>
  </sheetViews>
  <sheetFormatPr defaultColWidth="8.796875" defaultRowHeight="15.6" x14ac:dyDescent="0.3"/>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Sheet1</vt: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lpstr>Images</vt:lpstr>
      <vt:lpstr>Background 1</vt:lpstr>
      <vt:lpstr>Background 2</vt:lpstr>
      <vt:lpstr>Background 3</vt:lpstr>
      <vt:lpstr>Background 4</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AMAN THAKUR</cp:lastModifiedBy>
  <cp:lastPrinted>2026-04-09T14:48:31Z</cp:lastPrinted>
  <dcterms:created xsi:type="dcterms:W3CDTF">2022-12-29T16:02:46Z</dcterms:created>
  <dcterms:modified xsi:type="dcterms:W3CDTF">2026-04-09T14:49:13Z</dcterms:modified>
</cp:coreProperties>
</file>