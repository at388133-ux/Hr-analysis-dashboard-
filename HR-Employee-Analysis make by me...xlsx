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Ex3.xml" ContentType="application/vnd.ms-office.chartex+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slicers/slicer6.xml" ContentType="application/vnd.ms-excel.slicer+xml"/>
  <Override PartName="/xl/charts/chartEx4.xml" ContentType="application/vnd.ms-office.chartex+xml"/>
  <Override PartName="/xl/charts/style16.xml" ContentType="application/vnd.ms-office.chartstyle+xml"/>
  <Override PartName="/xl/charts/colors16.xml" ContentType="application/vnd.ms-office.chartcolorstyle+xml"/>
  <Override PartName="/xl/drawings/drawing10.xml" ContentType="application/vnd.openxmlformats-officedocument.drawing+xml"/>
  <Override PartName="/xl/slicers/slicer7.xml" ContentType="application/vnd.ms-excel.slicer+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1.xml" ContentType="application/vnd.openxmlformats-officedocument.drawingml.chartshapes+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2.xml" ContentType="application/vnd.openxmlformats-officedocument.drawingml.chartshapes+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harts/chartEx5.xml" ContentType="application/vnd.ms-office.chartex+xml"/>
  <Override PartName="/xl/charts/style21.xml" ContentType="application/vnd.ms-office.chartstyle+xml"/>
  <Override PartName="/xl/charts/colors21.xml" ContentType="application/vnd.ms-office.chartcolorstyle+xml"/>
  <Override PartName="/xl/charts/chart17.xml" ContentType="application/vnd.openxmlformats-officedocument.drawingml.chart+xml"/>
  <Override PartName="/xl/charts/style22.xml" ContentType="application/vnd.ms-office.chartstyle+xml"/>
  <Override PartName="/xl/charts/colors22.xml" ContentType="application/vnd.ms-office.chartcolorstyle+xml"/>
  <Override PartName="/xl/charts/chart18.xml" ContentType="application/vnd.openxmlformats-officedocument.drawingml.chart+xml"/>
  <Override PartName="/xl/charts/style23.xml" ContentType="application/vnd.ms-office.chartstyle+xml"/>
  <Override PartName="/xl/charts/colors23.xml" ContentType="application/vnd.ms-office.chartcolorstyle+xml"/>
  <Override PartName="/xl/charts/chartEx6.xml" ContentType="application/vnd.ms-office.chartex+xml"/>
  <Override PartName="/xl/charts/style24.xml" ContentType="application/vnd.ms-office.chartstyle+xml"/>
  <Override PartName="/xl/charts/colors24.xml" ContentType="application/vnd.ms-office.chartcolorsty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hidePivotFieldList="1" defaultThemeVersion="166925"/>
  <mc:AlternateContent xmlns:mc="http://schemas.openxmlformats.org/markup-compatibility/2006">
    <mc:Choice Requires="x15">
      <x15ac:absPath xmlns:x15ac="http://schemas.microsoft.com/office/spreadsheetml/2010/11/ac" url="C:\Users\atult\Downloads\"/>
    </mc:Choice>
  </mc:AlternateContent>
  <xr:revisionPtr revIDLastSave="0" documentId="13_ncr:1_{37D044CA-8C72-4D43-A294-F095230F6846}" xr6:coauthVersionLast="47" xr6:coauthVersionMax="47" xr10:uidLastSave="{00000000-0000-0000-0000-000000000000}"/>
  <bookViews>
    <workbookView xWindow="-108" yWindow="-108" windowWidth="23256" windowHeight="12456" xr2:uid="{5AF5D4AF-D10E-435D-ABA8-B0D0494ED23E}"/>
  </bookViews>
  <sheets>
    <sheet name="Sheet1" sheetId="17" r:id="rId1"/>
    <sheet name="Data" sheetId="1" r:id="rId2"/>
    <sheet name="KPI" sheetId="7" r:id="rId3"/>
    <sheet name="Rating" sheetId="9" r:id="rId4"/>
    <sheet name="Employee by Gender" sheetId="10" r:id="rId5"/>
    <sheet name="Education-wise Attrition" sheetId="12" r:id="rId6"/>
    <sheet name="Attrition By Job Role" sheetId="13" r:id="rId7"/>
    <sheet name="Department-wise Attrition" sheetId="14" r:id="rId8"/>
    <sheet name="Attrition By Age-Group" sheetId="15" r:id="rId9"/>
    <sheet name="Attrition By Marriage Status" sheetId="16" r:id="rId10"/>
    <sheet name="Dashboard" sheetId="8" r:id="rId11"/>
    <sheet name="Images" sheetId="2" r:id="rId12"/>
    <sheet name="Background 1" sheetId="3" r:id="rId13"/>
    <sheet name="Background 2" sheetId="4" r:id="rId14"/>
    <sheet name="Background 3" sheetId="5" r:id="rId15"/>
    <sheet name="Background 4" sheetId="6" r:id="rId16"/>
  </sheets>
  <definedNames>
    <definedName name="_xlchart.v1.0" hidden="1">'Attrition By Job Role'!$E$4:$E$12</definedName>
    <definedName name="_xlchart.v1.1" hidden="1">'Attrition By Job Role'!$F$3</definedName>
    <definedName name="_xlchart.v1.10" hidden="1">'Attrition By Job Role'!$E$4:$E$12</definedName>
    <definedName name="_xlchart.v1.11" hidden="1">'Attrition By Job Role'!$F$3</definedName>
    <definedName name="_xlchart.v1.12" hidden="1">'Attrition By Job Role'!$F$4:$F$12</definedName>
    <definedName name="_xlchart.v1.2" hidden="1">'Attrition By Job Role'!$F$4:$F$12</definedName>
    <definedName name="_xlchart.v1.5" hidden="1">'Attrition By Job Role'!$E$4:$E$12</definedName>
    <definedName name="_xlchart.v1.6" hidden="1">'Attrition By Job Role'!$F$3</definedName>
    <definedName name="_xlchart.v1.7" hidden="1">'Attrition By Job Role'!$F$4:$F$12</definedName>
    <definedName name="_xlchart.v2.13" hidden="1">'Attrition By Marriage Status'!$D$4:$D$6</definedName>
    <definedName name="_xlchart.v2.14" hidden="1">'Attrition By Marriage Status'!$E$4:$E$6</definedName>
    <definedName name="_xlchart.v2.3" hidden="1">'Attrition By Marriage Status'!$D$4:$D$6</definedName>
    <definedName name="_xlchart.v2.4" hidden="1">'Attrition By Marriage Status'!$E$4:$E$6</definedName>
    <definedName name="_xlchart.v2.8" hidden="1">'Attrition By Marriage Status'!$D$4:$D$6</definedName>
    <definedName name="_xlchart.v2.9" hidden="1">'Attrition By Marriage Status'!$E$4:$E$6</definedName>
    <definedName name="_xlnm.Print_Area" localSheetId="0">Sheet1!$W$8</definedName>
    <definedName name="Slicer_Department">#N/A</definedName>
    <definedName name="Slicer_Education">#N/A</definedName>
    <definedName name="Slicer_Education_Field2">#N/A</definedName>
    <definedName name="Slicer_Gender2">#N/A</definedName>
    <definedName name="Slicer_Marital_Status">#N/A</definedName>
  </definedNames>
  <calcPr calcId="191029"/>
  <pivotCaches>
    <pivotCache cacheId="0"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6" l="1"/>
  <c r="D6" i="16"/>
  <c r="D4" i="16"/>
  <c r="D5" i="14"/>
  <c r="D6" i="14"/>
  <c r="D4" i="14"/>
  <c r="E5" i="13"/>
  <c r="E6" i="13"/>
  <c r="E7" i="13"/>
  <c r="E8" i="13"/>
  <c r="E9" i="13"/>
  <c r="E10" i="13"/>
  <c r="E11" i="13"/>
  <c r="E12" i="13"/>
  <c r="E4" i="13"/>
  <c r="E6" i="14"/>
  <c r="E5" i="14"/>
  <c r="F6" i="13"/>
  <c r="E4" i="14"/>
  <c r="B7" i="7"/>
  <c r="F9" i="13"/>
  <c r="F12" i="13"/>
  <c r="F7" i="13"/>
  <c r="F8" i="13"/>
  <c r="E6" i="16"/>
  <c r="D7" i="7"/>
  <c r="F11" i="13"/>
  <c r="C7" i="7"/>
  <c r="B12" i="10"/>
  <c r="E7" i="7"/>
  <c r="F5" i="13"/>
  <c r="E5" i="16"/>
  <c r="F10" i="13"/>
  <c r="F4" i="13"/>
  <c r="A7" i="7"/>
  <c r="B11" i="10"/>
  <c r="B6" i="9"/>
  <c r="E4" i="16"/>
  <c r="C11" i="10" l="1"/>
  <c r="C12" i="10"/>
  <c r="C6" i="9"/>
  <c r="B7" i="9"/>
  <c r="C7" i="9" s="1"/>
  <c r="F4" i="14"/>
  <c r="F5" i="14"/>
  <c r="F6" i="14"/>
</calcChain>
</file>

<file path=xl/sharedStrings.xml><?xml version="1.0" encoding="utf-8"?>
<sst xmlns="http://schemas.openxmlformats.org/spreadsheetml/2006/main" count="19220" uniqueCount="1570">
  <si>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</si>
  <si>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</si>
  <si>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</si>
  <si>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</si>
  <si>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</si>
  <si>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</si>
  <si>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</si>
  <si>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</si>
  <si>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</si>
  <si>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</si>
  <si>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</si>
  <si>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</si>
  <si>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</si>
  <si>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</si>
  <si>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</si>
  <si>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</si>
  <si>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</si>
  <si>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</si>
  <si>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</si>
  <si>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</si>
  <si>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</si>
  <si>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</si>
  <si>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</si>
  <si>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</si>
  <si>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</si>
  <si>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</si>
  <si>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</si>
  <si>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</si>
  <si>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</si>
  <si>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</si>
  <si>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</si>
  <si>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</si>
  <si>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</si>
  <si>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</si>
  <si>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</si>
  <si>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</si>
  <si>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</si>
  <si>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</si>
  <si>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</si>
  <si>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</si>
  <si>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</si>
  <si>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</si>
  <si>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</si>
  <si>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</si>
  <si>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</si>
  <si>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</si>
  <si>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</si>
  <si>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</si>
  <si>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</si>
  <si>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</si>
  <si>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</si>
  <si>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</si>
  <si>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</si>
  <si>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</si>
  <si>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</si>
  <si>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</si>
  <si>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</si>
  <si>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</si>
  <si>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</si>
  <si>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</si>
  <si>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</si>
  <si>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</si>
  <si>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</si>
  <si>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</si>
  <si>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</si>
  <si>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</si>
  <si>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</si>
  <si>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</si>
  <si>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</si>
  <si>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</si>
  <si>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</si>
  <si>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</si>
  <si>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</si>
  <si>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</si>
  <si>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</si>
  <si>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</si>
  <si>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</si>
  <si>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</si>
  <si>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</si>
  <si>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</si>
  <si>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</si>
  <si>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</si>
  <si>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</si>
  <si>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</si>
  <si>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</si>
  <si>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</si>
  <si>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</si>
  <si>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</si>
  <si>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</si>
  <si>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</si>
  <si>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</si>
  <si>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</si>
  <si>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</si>
  <si>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</si>
  <si>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</si>
  <si>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</si>
  <si>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</si>
  <si>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</si>
  <si>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</si>
  <si>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</si>
  <si>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</si>
  <si>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</si>
  <si>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</si>
  <si>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</si>
  <si>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</si>
  <si>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</si>
  <si>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</si>
  <si>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</si>
  <si>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</si>
  <si>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</si>
  <si>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</si>
  <si>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</si>
  <si>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</si>
  <si>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</si>
  <si>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</si>
  <si>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</si>
  <si>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</si>
  <si>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</si>
  <si>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</si>
  <si>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</si>
  <si>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</si>
  <si>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</si>
  <si>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</si>
  <si>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</si>
  <si>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</si>
  <si>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</si>
  <si>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</si>
  <si>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</si>
  <si>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</si>
  <si>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</si>
  <si>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</si>
  <si>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</si>
  <si>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</si>
  <si>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</si>
  <si>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</si>
  <si>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</si>
  <si>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</si>
  <si>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</si>
  <si>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</si>
  <si>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</si>
  <si>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</si>
  <si>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</si>
  <si>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</si>
  <si>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</si>
  <si>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</si>
  <si>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</si>
  <si>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</si>
  <si>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</si>
  <si>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</si>
  <si>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</si>
  <si>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</si>
  <si>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</si>
  <si>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</si>
  <si>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</si>
  <si>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</si>
  <si>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</si>
  <si>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</si>
  <si>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</si>
  <si>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</si>
  <si>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</si>
  <si>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</si>
  <si>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</si>
  <si>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</si>
  <si>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</si>
  <si>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</si>
  <si>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</si>
  <si>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</si>
  <si>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</si>
  <si>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</si>
  <si>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</si>
  <si>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</si>
  <si>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</si>
  <si>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</si>
  <si>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</si>
  <si>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</si>
  <si>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</si>
  <si>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</si>
  <si>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</si>
  <si>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</si>
  <si>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</si>
  <si>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</si>
  <si>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</si>
  <si>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</si>
  <si>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</si>
  <si>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</si>
  <si>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</si>
  <si>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</si>
  <si>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</si>
  <si>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</si>
  <si>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</si>
  <si>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</si>
  <si>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</si>
  <si>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</si>
  <si>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</si>
  <si>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</si>
  <si>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</si>
  <si>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</si>
  <si>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</si>
  <si>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</si>
  <si>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</si>
  <si>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</si>
  <si>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</si>
  <si>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</si>
  <si>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</si>
  <si>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</si>
  <si>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</si>
  <si>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</si>
  <si>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</si>
  <si>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</si>
  <si>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</si>
  <si>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</si>
  <si>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</si>
  <si>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</si>
  <si>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</si>
  <si>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</si>
  <si>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</si>
  <si>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</si>
  <si>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</si>
  <si>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</si>
  <si>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</si>
  <si>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</si>
  <si>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</si>
  <si>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</si>
  <si>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</si>
  <si>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</si>
  <si>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</si>
  <si>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</si>
  <si>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</si>
  <si>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</si>
  <si>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</si>
  <si>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</si>
  <si>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</si>
  <si>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</si>
  <si>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</si>
  <si>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</si>
  <si>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</si>
  <si>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</si>
  <si>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</si>
  <si>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</si>
  <si>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</si>
  <si>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</si>
  <si>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</si>
  <si>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</si>
  <si>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</si>
  <si>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</si>
  <si>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</si>
  <si>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</si>
  <si>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</si>
  <si>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</si>
  <si>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</si>
  <si>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</si>
  <si>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</si>
  <si>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</si>
  <si>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</si>
  <si>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</si>
  <si>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</si>
  <si>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</si>
  <si>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</si>
  <si>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</si>
  <si>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</si>
  <si>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</si>
  <si>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</si>
  <si>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</si>
  <si>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</si>
  <si>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</si>
  <si>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</si>
  <si>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</si>
  <si>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</si>
  <si>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</si>
  <si>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</si>
  <si>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</si>
  <si>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</si>
  <si>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</si>
  <si>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</si>
  <si>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</si>
  <si>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</si>
  <si>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</si>
  <si>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</si>
  <si>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</si>
  <si>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</si>
  <si>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</si>
  <si>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</si>
  <si>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</si>
  <si>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</si>
  <si>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</si>
  <si>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</si>
  <si>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</si>
  <si>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</si>
  <si>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</si>
  <si>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</si>
  <si>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</si>
  <si>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</si>
  <si>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</si>
  <si>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</si>
  <si>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</si>
  <si>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</si>
  <si>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</si>
  <si>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</si>
  <si>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</si>
  <si>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</si>
  <si>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</si>
  <si>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</si>
  <si>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</si>
  <si>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</si>
  <si>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</si>
  <si>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</si>
  <si>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</si>
  <si>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</si>
  <si>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</si>
  <si>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</si>
  <si>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</si>
  <si>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</si>
  <si>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</si>
  <si>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</si>
  <si>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</si>
  <si>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</si>
  <si>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</si>
  <si>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</si>
  <si>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</si>
  <si>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</si>
  <si>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</si>
  <si>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</si>
  <si>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</si>
  <si>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</si>
  <si>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</si>
  <si>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</si>
  <si>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</si>
  <si>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</si>
  <si>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</si>
  <si>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</si>
  <si>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</si>
  <si>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</si>
  <si>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</si>
  <si>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</si>
  <si>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</si>
  <si>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</si>
  <si>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</si>
  <si>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</si>
  <si>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</si>
  <si>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</si>
  <si>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</si>
  <si>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</si>
  <si>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</si>
  <si>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</si>
  <si>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</si>
  <si>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</si>
  <si>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</si>
  <si>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</si>
  <si>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</si>
  <si>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</si>
  <si>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</si>
  <si>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</si>
  <si>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</si>
  <si>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</si>
  <si>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</si>
  <si>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</si>
  <si>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</si>
  <si>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</si>
  <si>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</si>
  <si>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</si>
  <si>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</si>
  <si>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</si>
  <si>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</si>
  <si>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</si>
  <si>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</si>
  <si>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</si>
  <si>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</si>
  <si>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</si>
  <si>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</si>
  <si>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</si>
  <si>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</si>
  <si>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</si>
  <si>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</si>
  <si>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</si>
  <si>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</si>
  <si>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</si>
  <si>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</si>
  <si>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</si>
  <si>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</si>
  <si>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</si>
  <si>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</si>
  <si>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</si>
  <si>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</si>
  <si>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</si>
  <si>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</si>
  <si>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</si>
  <si>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</si>
  <si>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</si>
  <si>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</si>
  <si>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</si>
  <si>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</si>
  <si>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</si>
  <si>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</si>
  <si>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</si>
  <si>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</si>
  <si>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</si>
  <si>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</si>
  <si>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</si>
  <si>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</si>
  <si>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</si>
  <si>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</si>
  <si>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</si>
  <si>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</si>
  <si>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</si>
  <si>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</si>
  <si>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</si>
  <si>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</si>
  <si>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</si>
  <si>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</si>
  <si>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</si>
  <si>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</si>
  <si>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</si>
  <si>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</si>
  <si>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</si>
  <si>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</si>
  <si>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</si>
  <si>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</si>
  <si>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</si>
  <si>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</si>
  <si>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</si>
  <si>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</si>
  <si>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</si>
  <si>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</si>
  <si>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</si>
  <si>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</si>
  <si>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</si>
  <si>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</si>
  <si>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</si>
  <si>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</si>
  <si>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</si>
  <si>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</si>
  <si>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</si>
  <si>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</si>
  <si>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</si>
  <si>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</si>
  <si>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</si>
  <si>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</si>
  <si>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</si>
  <si>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</si>
  <si>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</si>
  <si>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</si>
  <si>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</si>
  <si>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</si>
  <si>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</si>
  <si>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</si>
  <si>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</si>
  <si>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</si>
  <si>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</si>
  <si>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</si>
  <si>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</si>
  <si>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</si>
  <si>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</si>
  <si>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</si>
  <si>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</si>
  <si>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</si>
  <si>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</si>
  <si>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</si>
  <si>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</si>
  <si>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</si>
  <si>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</si>
  <si>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</si>
  <si>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</si>
  <si>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</si>
  <si>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</si>
  <si>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</si>
  <si>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</si>
  <si>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</si>
  <si>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</si>
  <si>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</si>
  <si>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</si>
  <si>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</si>
  <si>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</si>
  <si>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</si>
  <si>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</si>
  <si>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</si>
  <si>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</si>
  <si>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</si>
  <si>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</si>
  <si>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</si>
  <si>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</si>
  <si>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</si>
  <si>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</si>
  <si>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</si>
  <si>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</si>
  <si>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</si>
  <si>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</si>
  <si>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</si>
  <si>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</si>
  <si>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</si>
  <si>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</si>
  <si>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</si>
  <si>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</si>
  <si>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</si>
  <si>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</si>
  <si>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</si>
  <si>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</si>
  <si>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</si>
  <si>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</si>
  <si>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</si>
  <si>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</si>
  <si>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</si>
  <si>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</si>
  <si>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</si>
  <si>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</si>
  <si>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</si>
  <si>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</si>
  <si>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</si>
  <si>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</si>
  <si>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</si>
  <si>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</si>
  <si>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</si>
  <si>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</si>
  <si>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</si>
  <si>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</si>
  <si>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</si>
  <si>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</si>
  <si>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</si>
  <si>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</si>
  <si>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</si>
  <si>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</si>
  <si>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</si>
  <si>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</si>
  <si>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</si>
  <si>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</si>
  <si>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</si>
  <si>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</si>
  <si>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</si>
  <si>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</si>
  <si>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</si>
  <si>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</si>
  <si>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</si>
  <si>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</si>
  <si>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</si>
  <si>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</si>
  <si>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</si>
  <si>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</si>
  <si>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</si>
  <si>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</si>
  <si>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</si>
  <si>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</si>
  <si>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</si>
  <si>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</si>
  <si>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</si>
  <si>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</si>
  <si>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</si>
  <si>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</si>
  <si>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</si>
  <si>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</si>
  <si>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</si>
  <si>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</si>
  <si>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</si>
  <si>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</si>
  <si>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</si>
  <si>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</si>
  <si>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</si>
  <si>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</si>
  <si>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</si>
  <si>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</si>
  <si>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</si>
  <si>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</si>
  <si>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</si>
  <si>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</si>
  <si>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</si>
  <si>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</si>
  <si>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</si>
  <si>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</si>
  <si>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</si>
  <si>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</si>
  <si>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</si>
  <si>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</si>
  <si>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</si>
  <si>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</si>
  <si>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</si>
  <si>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</si>
  <si>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</si>
  <si>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</si>
  <si>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</si>
  <si>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</si>
  <si>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</si>
  <si>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</si>
  <si>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</si>
  <si>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</si>
  <si>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</si>
  <si>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</si>
  <si>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</si>
  <si>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</si>
  <si>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</si>
  <si>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</si>
  <si>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</si>
  <si>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</si>
  <si>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</si>
  <si>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</si>
  <si>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</si>
  <si>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</si>
  <si>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</si>
  <si>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</si>
  <si>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</si>
  <si>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</si>
  <si>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</si>
  <si>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</si>
  <si>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</si>
  <si>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</si>
  <si>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</si>
  <si>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</si>
  <si>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</si>
  <si>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</si>
  <si>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</si>
  <si>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</si>
  <si>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</si>
  <si>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</si>
  <si>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</si>
  <si>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</si>
  <si>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</si>
  <si>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</si>
  <si>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</si>
  <si>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</si>
  <si>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</si>
  <si>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</si>
  <si>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</si>
  <si>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</si>
  <si>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</si>
  <si>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</si>
  <si>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</si>
  <si>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</si>
  <si>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</si>
  <si>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</si>
  <si>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</si>
  <si>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</si>
  <si>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</si>
  <si>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</si>
  <si>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</si>
  <si>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</si>
  <si>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</si>
  <si>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</si>
  <si>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</si>
  <si>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</si>
  <si>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</si>
  <si>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</si>
  <si>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</si>
  <si>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</si>
  <si>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</si>
  <si>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</si>
  <si>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</si>
  <si>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</si>
  <si>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</si>
  <si>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</si>
  <si>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</si>
  <si>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</si>
  <si>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</si>
  <si>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</si>
  <si>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</si>
  <si>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</si>
  <si>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</si>
  <si>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</si>
  <si>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</si>
  <si>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</si>
  <si>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</si>
  <si>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</si>
  <si>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</si>
  <si>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</si>
  <si>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</si>
  <si>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</si>
  <si>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</si>
  <si>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</si>
  <si>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</si>
  <si>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</si>
  <si>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</si>
  <si>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</si>
  <si>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</si>
  <si>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</si>
  <si>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</si>
  <si>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</si>
  <si>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</si>
  <si>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</si>
  <si>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</si>
  <si>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</si>
  <si>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</si>
  <si>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</si>
  <si>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</si>
  <si>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</si>
  <si>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</si>
  <si>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</si>
  <si>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</si>
  <si>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</si>
  <si>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</si>
  <si>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</si>
  <si>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</si>
  <si>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</si>
  <si>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</si>
  <si>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</si>
  <si>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</si>
  <si>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</si>
  <si>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</si>
  <si>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</si>
  <si>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</si>
  <si>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</si>
  <si>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</si>
  <si>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</si>
  <si>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</si>
  <si>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</si>
  <si>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</si>
  <si>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</si>
  <si>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</si>
  <si>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</si>
  <si>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</si>
  <si>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</si>
  <si>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</si>
  <si>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</si>
  <si>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</si>
  <si>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</si>
  <si>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</si>
  <si>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</si>
  <si>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</si>
  <si>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</si>
  <si>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</si>
  <si>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</si>
  <si>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</si>
  <si>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</si>
  <si>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</si>
  <si>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</si>
  <si>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</si>
  <si>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</si>
  <si>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</si>
  <si>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</si>
  <si>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</si>
  <si>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</si>
  <si>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</si>
  <si>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</si>
  <si>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</si>
  <si>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</si>
  <si>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</si>
  <si>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</si>
  <si>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</si>
  <si>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</si>
  <si>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</si>
  <si>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</si>
  <si>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</si>
  <si>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</si>
  <si>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</si>
  <si>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</si>
  <si>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</si>
  <si>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</si>
  <si>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</si>
  <si>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</si>
  <si>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</si>
  <si>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</si>
  <si>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</si>
  <si>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</si>
  <si>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</si>
  <si>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</si>
  <si>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</si>
  <si>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</si>
  <si>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</si>
  <si>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</si>
  <si>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</si>
  <si>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</si>
  <si>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</si>
  <si>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</si>
  <si>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</si>
  <si>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</si>
  <si>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</si>
  <si>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</si>
  <si>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</si>
  <si>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</si>
  <si>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</si>
  <si>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</si>
  <si>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</si>
  <si>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</si>
  <si>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</si>
  <si>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</si>
  <si>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</si>
  <si>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</si>
  <si>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</si>
  <si>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</si>
  <si>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</si>
  <si>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</si>
  <si>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</si>
  <si>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</si>
  <si>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</si>
  <si>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</si>
  <si>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</si>
  <si>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</si>
  <si>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</si>
  <si>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</si>
  <si>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</si>
  <si>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</si>
  <si>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</si>
  <si>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</si>
  <si>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</si>
  <si>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</si>
  <si>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</si>
  <si>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</si>
  <si>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</si>
  <si>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</si>
  <si>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</si>
  <si>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</si>
  <si>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</si>
  <si>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</si>
  <si>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</si>
  <si>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</si>
  <si>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</si>
  <si>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</si>
  <si>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</si>
  <si>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</si>
  <si>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</si>
  <si>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</si>
  <si>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</si>
  <si>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</si>
  <si>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</si>
  <si>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</si>
  <si>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</si>
  <si>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</si>
  <si>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</si>
  <si>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</si>
  <si>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</si>
  <si>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</si>
  <si>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</si>
  <si>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</si>
  <si>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</si>
  <si>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</si>
  <si>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</si>
  <si>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</si>
  <si>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</si>
  <si>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</si>
  <si>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</si>
  <si>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</si>
  <si>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</si>
  <si>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</si>
  <si>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</si>
  <si>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</si>
  <si>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</si>
  <si>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</si>
  <si>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</si>
  <si>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</si>
  <si>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</si>
  <si>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</si>
  <si>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</si>
  <si>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</si>
  <si>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</si>
  <si>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</si>
  <si>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</si>
  <si>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</si>
  <si>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</si>
  <si>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</si>
  <si>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</si>
  <si>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</si>
  <si>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</si>
  <si>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</si>
  <si>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</si>
  <si>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</si>
  <si>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</si>
  <si>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</si>
  <si>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</si>
  <si>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</si>
  <si>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</si>
  <si>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</si>
  <si>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</si>
  <si>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</si>
  <si>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</si>
  <si>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</si>
  <si>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</si>
  <si>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</si>
  <si>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</si>
  <si>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</si>
  <si>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</si>
  <si>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</si>
  <si>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</si>
  <si>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</si>
  <si>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</si>
  <si>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</si>
  <si>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</si>
  <si>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</si>
  <si>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</si>
  <si>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</si>
  <si>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</si>
  <si>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</si>
  <si>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</si>
  <si>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</si>
  <si>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</si>
  <si>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</si>
  <si>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</si>
  <si>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</si>
  <si>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</si>
  <si>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</si>
  <si>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</si>
  <si>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</si>
  <si>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</si>
  <si>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</si>
  <si>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</si>
  <si>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</si>
  <si>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</si>
  <si>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</si>
  <si>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</si>
  <si>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</si>
  <si>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</si>
  <si>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</si>
  <si>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</si>
  <si>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</si>
  <si>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</si>
  <si>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</si>
  <si>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</si>
  <si>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</si>
  <si>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</si>
  <si>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</si>
  <si>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</si>
  <si>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</si>
  <si>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</si>
  <si>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</si>
  <si>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</si>
  <si>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</si>
  <si>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</si>
  <si>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</si>
  <si>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</si>
  <si>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</si>
  <si>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</si>
  <si>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</si>
  <si>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</si>
  <si>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</si>
  <si>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</si>
  <si>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</si>
  <si>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</si>
  <si>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</si>
  <si>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</si>
  <si>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</si>
  <si>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</si>
  <si>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</si>
  <si>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</si>
  <si>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</si>
  <si>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</si>
  <si>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</si>
  <si>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</si>
  <si>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</si>
  <si>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</si>
  <si>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</si>
  <si>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</si>
  <si>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</si>
  <si>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</si>
  <si>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</si>
  <si>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</si>
  <si>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</si>
  <si>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</si>
  <si>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</si>
  <si>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</si>
  <si>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</si>
  <si>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</si>
  <si>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</si>
  <si>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</si>
  <si>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</si>
  <si>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</si>
  <si>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</si>
  <si>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</si>
  <si>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</si>
  <si>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</si>
  <si>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</si>
  <si>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</si>
  <si>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</si>
  <si>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</si>
  <si>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</si>
  <si>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</si>
  <si>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</si>
  <si>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</si>
  <si>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</si>
  <si>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</si>
  <si>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</si>
  <si>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</si>
  <si>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</si>
  <si>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</si>
  <si>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</si>
  <si>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</si>
  <si>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</si>
  <si>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</si>
  <si>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</si>
  <si>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</si>
  <si>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</si>
  <si>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</si>
  <si>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</si>
  <si>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</si>
  <si>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</si>
  <si>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</si>
  <si>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</si>
  <si>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</si>
  <si>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</si>
  <si>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</si>
  <si>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</si>
  <si>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</si>
  <si>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</si>
  <si>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</si>
  <si>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</si>
  <si>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</si>
  <si>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</si>
  <si>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</si>
  <si>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</si>
  <si>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</si>
  <si>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</si>
  <si>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</si>
  <si>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</si>
  <si>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</si>
  <si>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</si>
  <si>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</si>
  <si>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</si>
  <si>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</si>
  <si>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</si>
  <si>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</si>
  <si>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</si>
  <si>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</si>
  <si>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</si>
  <si>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</si>
  <si>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</si>
  <si>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</si>
  <si>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</si>
  <si>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</si>
  <si>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</si>
  <si>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</si>
  <si>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</si>
  <si>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</si>
  <si>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</si>
  <si>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</si>
  <si>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</si>
  <si>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</si>
  <si>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</si>
  <si>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</si>
  <si>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</si>
  <si>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</si>
  <si>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</si>
  <si>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</si>
  <si>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</si>
  <si>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</si>
  <si>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</si>
  <si>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</si>
  <si>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</si>
  <si>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</si>
  <si>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</si>
  <si>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</si>
  <si>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</si>
  <si>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</si>
  <si>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</si>
  <si>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</si>
  <si>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</si>
  <si>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</si>
  <si>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</si>
  <si>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</si>
  <si>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</si>
  <si>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</si>
  <si>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</si>
  <si>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</si>
  <si>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</si>
  <si>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</si>
  <si>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</si>
  <si>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</si>
  <si>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</si>
  <si>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</si>
  <si>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</si>
  <si>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</si>
  <si>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</si>
  <si>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</si>
  <si>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</si>
  <si>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</si>
  <si>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</si>
  <si>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</si>
  <si>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</si>
  <si>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</si>
  <si>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</si>
  <si>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</si>
  <si>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</si>
  <si>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</si>
  <si>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</si>
  <si>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</si>
  <si>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</si>
  <si>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</si>
  <si>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</si>
  <si>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</si>
  <si>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</si>
  <si>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</si>
  <si>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</si>
  <si>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</si>
  <si>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</si>
  <si>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</si>
  <si>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</si>
  <si>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</si>
  <si>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</si>
  <si>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</si>
  <si>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</si>
  <si>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</si>
  <si>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</si>
  <si>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</si>
  <si>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</si>
  <si>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</si>
  <si>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</si>
  <si>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</si>
  <si>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</si>
  <si>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</si>
  <si>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</si>
  <si>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</si>
  <si>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</si>
  <si>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</si>
  <si>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</si>
  <si>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</si>
  <si>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</si>
  <si>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</si>
  <si>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</si>
  <si>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</si>
  <si>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</si>
  <si>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</si>
  <si>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</si>
  <si>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</si>
  <si>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</si>
  <si>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</si>
  <si>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</si>
  <si>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</si>
  <si>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</si>
  <si>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</si>
  <si>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</si>
  <si>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</si>
  <si>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</si>
  <si>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</si>
  <si>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</si>
  <si>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</si>
  <si>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</si>
  <si>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</si>
  <si>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</si>
  <si>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</si>
  <si>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</si>
  <si>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</si>
  <si>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</si>
  <si>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</si>
  <si>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</si>
  <si>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</si>
  <si>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</si>
  <si>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</si>
  <si>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</si>
  <si>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</si>
  <si>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</si>
  <si>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</si>
  <si>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</si>
  <si>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</si>
  <si>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</si>
  <si>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</si>
  <si>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</si>
  <si>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</si>
  <si>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</si>
  <si>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</si>
  <si>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</si>
  <si>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</si>
  <si>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</si>
  <si>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</si>
  <si>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</si>
  <si>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</si>
  <si>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</si>
  <si>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</si>
  <si>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</si>
  <si>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</si>
  <si>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</si>
  <si>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</si>
  <si>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</si>
  <si>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</si>
  <si>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</si>
  <si>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</si>
  <si>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</si>
  <si>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</si>
  <si>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</si>
  <si>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</si>
  <si>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</si>
  <si>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</si>
  <si>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</si>
  <si>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</si>
  <si>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</si>
  <si>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</si>
  <si>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</si>
  <si>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</si>
  <si>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</si>
  <si>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</si>
  <si>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</si>
  <si>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</si>
  <si>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</si>
  <si>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</si>
  <si>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</si>
  <si>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</si>
  <si>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</si>
  <si>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</si>
  <si>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</si>
  <si>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</si>
  <si>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</si>
  <si>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</si>
  <si>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</si>
  <si>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</si>
  <si>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</si>
  <si>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</si>
  <si>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</si>
  <si>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</si>
  <si>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</si>
  <si>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</si>
  <si>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</si>
  <si>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</si>
  <si>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</si>
  <si>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</si>
  <si>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</si>
  <si>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</si>
  <si>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</si>
  <si>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</si>
  <si>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</si>
  <si>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</si>
  <si>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</si>
  <si>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</si>
  <si>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</si>
  <si>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</si>
  <si>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</si>
  <si>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</si>
  <si>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</si>
  <si>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</si>
  <si>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</si>
  <si>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</si>
  <si>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</si>
  <si>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</si>
  <si>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</si>
  <si>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</si>
  <si>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</si>
  <si>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</si>
  <si>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</si>
  <si>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</si>
  <si>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</si>
  <si>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</si>
  <si>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</si>
  <si>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</si>
  <si>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</si>
  <si>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</si>
  <si>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</si>
  <si>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</si>
  <si>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</si>
  <si>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</si>
  <si>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</si>
  <si>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</si>
  <si>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</si>
  <si>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</si>
  <si>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</si>
  <si>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</si>
  <si>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</si>
  <si>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</si>
  <si>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</si>
  <si>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</si>
  <si>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</si>
  <si>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</si>
  <si>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</si>
  <si>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</si>
  <si>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</si>
  <si>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</si>
  <si>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</si>
  <si>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</si>
  <si>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</si>
  <si>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</si>
  <si>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</si>
  <si>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</si>
  <si>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</si>
  <si>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</si>
  <si>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</si>
  <si>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</si>
  <si>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</si>
  <si>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</si>
  <si>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</si>
  <si>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</si>
  <si>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</si>
  <si>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</si>
  <si>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</si>
  <si>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</si>
  <si>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</si>
  <si>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</si>
  <si>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</si>
  <si>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</si>
  <si>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</si>
  <si>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</si>
  <si>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</si>
  <si>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</si>
  <si>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</si>
  <si>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</si>
  <si>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</si>
  <si>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</si>
  <si>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</si>
  <si>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</si>
  <si>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</si>
  <si>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</si>
  <si>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</si>
  <si>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</si>
  <si>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</si>
  <si>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</si>
  <si>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</si>
  <si>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</si>
  <si>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</si>
  <si>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</si>
  <si>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</si>
  <si>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</si>
  <si>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</si>
  <si>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</si>
  <si>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</si>
  <si>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</si>
  <si>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</si>
  <si>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</si>
  <si>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</si>
  <si>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</si>
  <si>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</si>
  <si>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</si>
  <si>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</si>
  <si>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</si>
  <si>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</si>
  <si>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</si>
  <si>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</si>
  <si>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</si>
  <si>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</si>
  <si>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</si>
  <si>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</si>
  <si>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</si>
  <si>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</si>
  <si>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</si>
  <si>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</si>
  <si>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</si>
  <si>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</si>
  <si>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</si>
  <si>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</si>
  <si>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</si>
  <si>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</si>
  <si>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</si>
  <si>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</si>
  <si>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</si>
  <si>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</si>
  <si>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</si>
  <si>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</si>
  <si>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</si>
  <si>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</si>
  <si>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</si>
  <si>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</si>
  <si>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</si>
  <si>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</si>
  <si>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</si>
  <si>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</si>
  <si>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</si>
  <si>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</si>
  <si>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</si>
  <si>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</si>
  <si>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</si>
  <si>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</si>
  <si>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</si>
  <si>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</si>
  <si>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</si>
  <si>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</si>
  <si>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</si>
  <si>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</si>
  <si>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</si>
  <si>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</si>
  <si>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</si>
  <si>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</si>
  <si>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</si>
  <si>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</si>
  <si>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</si>
  <si>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</si>
  <si>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</si>
  <si>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</si>
  <si>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</si>
  <si>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</si>
  <si>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</si>
  <si>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</si>
  <si>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</si>
  <si>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</si>
  <si>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</si>
  <si>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</si>
  <si>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</si>
  <si>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</si>
  <si>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</si>
  <si>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</si>
  <si>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</si>
  <si>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</si>
  <si>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</si>
  <si>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</si>
  <si>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</si>
  <si>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</si>
  <si>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</si>
  <si>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</si>
  <si>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</si>
  <si>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</si>
  <si>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</si>
  <si>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</si>
  <si>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</si>
  <si>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</si>
  <si>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</si>
  <si>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</si>
  <si>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</si>
  <si>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</si>
  <si>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</si>
  <si>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</si>
  <si>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</si>
  <si>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</si>
  <si>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</si>
  <si>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</si>
  <si>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</si>
  <si>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</si>
  <si>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</si>
  <si>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</si>
  <si>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</si>
  <si>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</si>
  <si>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</si>
  <si>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</si>
  <si>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</si>
  <si>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</si>
  <si>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</si>
  <si>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</si>
  <si>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</si>
  <si>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</si>
  <si>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</si>
  <si>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</si>
  <si>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</si>
  <si>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</si>
  <si>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</si>
  <si>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</si>
  <si>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</si>
  <si>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</si>
  <si>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</si>
  <si>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</si>
  <si>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</si>
  <si>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</si>
  <si>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</si>
  <si>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</si>
  <si>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</si>
  <si>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</si>
  <si>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</si>
  <si>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</si>
  <si>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</si>
  <si>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</si>
  <si>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</si>
  <si>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</si>
  <si>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</si>
  <si>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</si>
  <si>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</si>
  <si>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</si>
  <si>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</si>
  <si>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</si>
  <si>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</si>
  <si>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</si>
  <si>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</si>
  <si>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</si>
  <si>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</si>
  <si>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</si>
  <si>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</si>
  <si>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</si>
  <si>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</si>
  <si>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</si>
  <si>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</si>
  <si>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</si>
  <si>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</si>
  <si>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</si>
  <si>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</si>
  <si>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</si>
  <si>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</si>
  <si>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</si>
  <si>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</si>
  <si>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</si>
  <si>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</si>
  <si>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</si>
  <si>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</si>
  <si>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</si>
  <si>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</si>
  <si>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</si>
  <si>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</si>
  <si>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</si>
  <si>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</si>
  <si>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</si>
  <si>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</si>
  <si>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</si>
  <si>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</si>
  <si>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</si>
  <si>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</si>
  <si>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</si>
  <si>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</si>
  <si>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</si>
  <si>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</si>
  <si>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</si>
  <si>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</si>
  <si>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</si>
  <si>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</si>
  <si>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</si>
  <si>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</si>
  <si>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</si>
  <si>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</si>
  <si>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</si>
  <si>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</si>
  <si>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</si>
  <si>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</si>
  <si>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</si>
  <si>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</si>
  <si>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</si>
  <si>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</si>
  <si>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</si>
  <si>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</si>
  <si>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</si>
  <si>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</si>
  <si>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</si>
  <si>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</si>
  <si>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</si>
  <si>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</si>
  <si>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</si>
  <si>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</si>
  <si>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</si>
  <si>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</si>
  <si>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</si>
  <si>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</si>
  <si>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</si>
  <si>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</si>
  <si>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</si>
  <si>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</si>
  <si>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</si>
  <si>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</si>
  <si>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</si>
  <si>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</si>
  <si>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</si>
  <si>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</si>
  <si>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</si>
  <si>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</si>
  <si>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</si>
  <si>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</si>
  <si>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</si>
  <si>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</si>
  <si>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</si>
  <si>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</si>
  <si>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</si>
  <si>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</si>
  <si>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</si>
  <si>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</si>
  <si>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</si>
  <si>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</si>
  <si>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</si>
  <si>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</si>
  <si>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</si>
  <si>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</si>
  <si>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</si>
  <si>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</si>
  <si>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</si>
  <si>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</si>
  <si>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</si>
  <si>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</si>
  <si>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</si>
  <si>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</si>
  <si>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</si>
  <si>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</si>
  <si>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</si>
  <si>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</si>
  <si>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</si>
  <si>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</si>
  <si>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</si>
  <si>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</si>
  <si>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</si>
  <si>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</si>
  <si>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</si>
  <si>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</si>
  <si>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</si>
  <si>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</si>
  <si>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</si>
  <si>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</si>
  <si>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</si>
  <si>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</si>
  <si>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</si>
  <si>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</si>
  <si>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Employees</t>
  </si>
  <si>
    <t>Attrition Count</t>
  </si>
  <si>
    <t>Average Age</t>
  </si>
  <si>
    <t>Active Employees</t>
  </si>
  <si>
    <t>Attrition Rate</t>
  </si>
  <si>
    <t>Average of Job Satisfaction</t>
  </si>
  <si>
    <t>Rating</t>
  </si>
  <si>
    <t>Remaining Rating</t>
  </si>
  <si>
    <t>Row Labels</t>
  </si>
  <si>
    <t>Grand Total</t>
  </si>
  <si>
    <t>Count of CF_attrition count</t>
  </si>
  <si>
    <t>Attrition Percentage</t>
  </si>
  <si>
    <t>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</si>
</sst>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2" fillId="0" borderId="0" xfId="0" applyFont="1"/>
    <xf numFmtId="9" fontId="0" fillId="0" borderId="0" xfId="1" applyFont="1"/>
    <xf numFmtId="10" fontId="0" fillId="0" borderId="0" xfId="1" applyNumberFormat="1" applyFont="1"/>
    <xf numFmtId="164" fontId="0" fillId="0" borderId="0" xfId="0" applyNumberFormat="1"/>
    <xf numFmtId="0" fontId="0" fillId="2" borderId="0" xfId="0" applyFill="1"/>
    <xf numFmtId="0" fontId="0" fillId="0" borderId="0" xfId="0" pivotButton="1"/>
    <xf numFmtId="0" fontId="0" fillId="0" borderId="0" xfId="0" applyAlignment="1">
      <alignment horizontal="left"/>
    </xf>
  </cellXfs>
  <cellStyles count="2">
    <cellStyle name="Normal" xfId="0" builtinId="0"/>
    <cellStyle name="Percent" xfId="1" builtinId="5"/>
  </cellStyles>
  <dxfs count="1">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1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625984251968505"/>
          <c:y val="0.16486147564887724"/>
          <c:w val="0.55007249093863264"/>
          <c:h val="0.6346990280061146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BB-4A2B-ACE8-56E9E2B2BF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BB-4A2B-ACE8-56E9E2B2BFDB}"/>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ADBB-4A2B-ACE8-56E9E2B2BFD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17059112176195368"/>
          <c:y val="0.1997281589801275"/>
          <c:w val="0.67182130584192445"/>
          <c:h val="0.98737373737373735"/>
        </c:manualLayout>
      </c:layout>
      <c:doughnutChart>
        <c:varyColors val="1"/>
        <c:ser>
          <c:idx val="0"/>
          <c:order val="0"/>
          <c:dPt>
            <c:idx val="0"/>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EDB-4F16-B997-1C20F77915E8}"/>
              </c:ext>
            </c:extLst>
          </c:dPt>
          <c:dPt>
            <c:idx val="1"/>
            <c:bubble3D val="0"/>
            <c:explosion val="13"/>
            <c:spPr>
              <a:solidFill>
                <a:schemeClr val="accent6">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EDB-4F16-B997-1C20F77915E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8EDB-4F16-B997-1C20F77915E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1779230721159848"/>
          <c:y val="0.36937674457359498"/>
          <c:w val="0.20284261342332208"/>
          <c:h val="0.44643169603799532"/>
        </c:manualLayout>
      </c:layout>
      <c:overlay val="0"/>
      <c:spPr>
        <a:solidFill>
          <a:schemeClr val="lt1">
            <a:lumMod val="95000"/>
            <a:alpha val="39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9276857634176E-2"/>
          <c:y val="1.0773458005249344E-2"/>
          <c:w val="0.86373835623488238"/>
          <c:h val="1"/>
        </c:manualLayout>
      </c:layout>
      <c:doughnut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E44-49FC-A080-8817D34C47B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E44-49FC-A080-8817D34C47BC}"/>
              </c:ext>
            </c:extLst>
          </c:dPt>
          <c:dLbls>
            <c:spPr>
              <a:noFill/>
              <a:ln>
                <a:solidFill>
                  <a:schemeClr val="accent3">
                    <a:lumMod val="7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CE44-49FC-A080-8817D34C47BC}"/>
            </c:ext>
          </c:extLst>
        </c:ser>
        <c:dLbls>
          <c:showLegendKey val="0"/>
          <c:showVal val="0"/>
          <c:showCatName val="1"/>
          <c:showSerName val="0"/>
          <c:showPercent val="1"/>
          <c:showBubbleSize val="0"/>
          <c:showLeaderLines val="1"/>
        </c:dLbls>
        <c:firstSliceAng val="0"/>
        <c:holeSize val="50"/>
      </c:doughnutChart>
      <c:spPr>
        <a:solidFill>
          <a:schemeClr val="bg2">
            <a:lumMod val="90000"/>
          </a:schemeClr>
        </a:solidFill>
        <a:ln>
          <a:noFill/>
        </a:ln>
        <a:effectLst/>
      </c:spPr>
    </c:plotArea>
    <c:legend>
      <c:legendPos val="t"/>
      <c:layout>
        <c:manualLayout>
          <c:xMode val="edge"/>
          <c:yMode val="edge"/>
          <c:x val="0.31019884381540908"/>
          <c:y val="0.12753718285214349"/>
          <c:w val="0.4217962718163879"/>
          <c:h val="0.20988952873428138"/>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make by me...xlsx]Education-wise Attrition!Education-wise Attrition</c:name>
    <c:fmtId val="5"/>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1873-4E6D-94CD-261FB2CA11E4}"/>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solidFill>
            <a:schemeClr val="accent1">
              <a:lumMod val="40000"/>
              <a:lumOff val="6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noFill/>
              </a:ln>
              <a:effectLst/>
            </c:spPr>
            <c:extLst>
              <c:ext xmlns:c16="http://schemas.microsoft.com/office/drawing/2014/chart" uri="{C3380CC4-5D6E-409C-BE32-E72D297353CC}">
                <c16:uniqueId val="{00000001-AC93-4888-B905-61C0C0BBE1D6}"/>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3-AC93-4888-B905-61C0C0BBE1D6}"/>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5-AC93-4888-B905-61C0C0BBE1D6}"/>
              </c:ext>
            </c:extLst>
          </c:dPt>
          <c:dLbls>
            <c:dLbl>
              <c:idx val="0"/>
              <c:tx>
                <c:rich>
                  <a:bodyPr/>
                  <a:lstStyle/>
                  <a:p>
                    <a:fld id="{570B69EB-0DD9-4A92-8061-8E2E2FF5A11B}" type="CELLRANGE">
                      <a:rPr lang="en-US"/>
                      <a:pPr/>
                      <a:t>[CELLRANGE]</a:t>
                    </a:fld>
                    <a:r>
                      <a:rPr lang="en-US" baseline="0"/>
                      <a:t>, </a:t>
                    </a:r>
                    <a:fld id="{AB765E36-2B85-4CE9-AF57-433B5C99C92C}"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C93-4888-B905-61C0C0BBE1D6}"/>
                </c:ext>
              </c:extLst>
            </c:dLbl>
            <c:dLbl>
              <c:idx val="1"/>
              <c:tx>
                <c:rich>
                  <a:bodyPr/>
                  <a:lstStyle/>
                  <a:p>
                    <a:fld id="{C0460E0F-8155-4AFC-81D3-6B52DEC31714}" type="CELLRANGE">
                      <a:rPr lang="en-US"/>
                      <a:pPr/>
                      <a:t>[CELLRANGE]</a:t>
                    </a:fld>
                    <a:r>
                      <a:rPr lang="en-US" baseline="0"/>
                      <a:t>, </a:t>
                    </a:r>
                    <a:fld id="{8162BEA2-23D7-4C3E-8DA4-25C00A2AC7D7}"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C93-4888-B905-61C0C0BBE1D6}"/>
                </c:ext>
              </c:extLst>
            </c:dLbl>
            <c:dLbl>
              <c:idx val="2"/>
              <c:tx>
                <c:rich>
                  <a:bodyPr/>
                  <a:lstStyle/>
                  <a:p>
                    <a:fld id="{01E82A24-2428-400B-81DD-CF82D81EC001}" type="CELLRANGE">
                      <a:rPr lang="en-US"/>
                      <a:pPr/>
                      <a:t>[CELLRANGE]</a:t>
                    </a:fld>
                    <a:r>
                      <a:rPr lang="en-US" baseline="0"/>
                      <a:t>, </a:t>
                    </a:r>
                    <a:fld id="{9827C112-5009-4079-846A-6255901B94D1}" type="VALUE">
                      <a:rPr lang="en-US" baseline="0"/>
                      <a:pPr/>
                      <a:t>[VALUE]</a:t>
                    </a:fld>
                    <a:endParaRPr lang="en-US"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C93-4888-B905-61C0C0BBE1D6}"/>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AC93-4888-B905-61C0C0BBE1D6}"/>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make by me...xlsx]Attrition By Age-Group!Attrition By Age-Group</c:name>
    <c:fmtId val="7"/>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2354999742679226E-4"/>
          <c:w val="0.99409213271417995"/>
          <c:h val="0.85609798775153101"/>
        </c:manualLayout>
      </c:layout>
      <c:barChart>
        <c:barDir val="col"/>
        <c:grouping val="stacked"/>
        <c:varyColors val="0"/>
        <c:ser>
          <c:idx val="0"/>
          <c:order val="0"/>
          <c:tx>
            <c:strRef>
              <c:f>'Attrition By Age-Group'!$B$3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1F4B-47E3-833C-20EF6528C850}"/>
            </c:ext>
          </c:extLst>
        </c:ser>
        <c:dLbls>
          <c:dLblPos val="ctr"/>
          <c:showLegendKey val="0"/>
          <c:showVal val="1"/>
          <c:showCatName val="0"/>
          <c:showSerName val="0"/>
          <c:showPercent val="0"/>
          <c:showBubbleSize val="0"/>
        </c:dLbls>
        <c:gapWidth val="79"/>
        <c:overlap val="100"/>
        <c:axId val="1694148112"/>
        <c:axId val="1666484432"/>
      </c:barChart>
      <c:catAx>
        <c:axId val="1694148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solidFill>
          <a:schemeClr val="tx2"/>
        </a:solidFill>
        <a:ln>
          <a:solidFill>
            <a:schemeClr val="accent3">
              <a:lumMod val="20000"/>
              <a:lumOff val="8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3-8303-364E-BB2E-395230F4C85C}"/>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2-8303-364E-BB2E-395230F4C85C}"/>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0-8303-364E-BB2E-395230F4C85C}"/>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accent1"/>
            </a:solidFill>
          </c:spPr>
          <c:dPt>
            <c:idx val="0"/>
            <c:bubble3D val="0"/>
            <c:spPr>
              <a:solidFill>
                <a:schemeClr val="accent1"/>
              </a:solidFill>
              <a:ln w="19050">
                <a:noFill/>
              </a:ln>
              <a:effectLst/>
            </c:spPr>
            <c:extLst>
              <c:ext xmlns:c16="http://schemas.microsoft.com/office/drawing/2014/chart" uri="{C3380CC4-5D6E-409C-BE32-E72D297353CC}">
                <c16:uniqueId val="{00000002-F486-544C-9DC9-6F287EEE2158}"/>
              </c:ext>
            </c:extLst>
          </c:dPt>
          <c:dPt>
            <c:idx val="1"/>
            <c:bubble3D val="0"/>
            <c:spPr>
              <a:solidFill>
                <a:srgbClr val="FFC000"/>
              </a:solidFill>
              <a:ln w="19050">
                <a:noFill/>
              </a:ln>
              <a:effectLst/>
            </c:spPr>
            <c:extLst>
              <c:ext xmlns:c16="http://schemas.microsoft.com/office/drawing/2014/chart" uri="{C3380CC4-5D6E-409C-BE32-E72D297353CC}">
                <c16:uniqueId val="{00000001-F486-544C-9DC9-6F287EEE2158}"/>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F486-544C-9DC9-6F287EEE215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9261-8742-BEAF-DF5750B7B815}"/>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2-9261-8742-BEAF-DF5750B7B815}"/>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0-9261-8742-BEAF-DF5750B7B81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make by me...xlsx]Education-wise Attrition!Education-wise Attrition</c:name>
    <c:fmtId val="1"/>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5BB1-504A-B23B-1636E50F3757}"/>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EDF3-3E4B-B154-B6EA24DF0CE1}"/>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2-EDF3-3E4B-B154-B6EA24DF0CE1}"/>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3-EDF3-3E4B-B154-B6EA24DF0CE1}"/>
              </c:ext>
            </c:extLst>
          </c:dPt>
          <c:dLbls>
            <c:dLbl>
              <c:idx val="0"/>
              <c:tx>
                <c:rich>
                  <a:bodyPr/>
                  <a:lstStyle/>
                  <a:p>
                    <a:fld id="{3B677143-564F-43AF-B2D0-F9BC43C3EB39}" type="CELLRANGE">
                      <a:rPr lang="en-IN"/>
                      <a:pPr/>
                      <a:t>[CELLRANGE]</a:t>
                    </a:fld>
                    <a:r>
                      <a:rPr lang="en-IN" baseline="0"/>
                      <a:t>, </a:t>
                    </a:r>
                    <a:fld id="{68AED0A3-29F9-4AB8-8AA9-3C00E0900CBD}"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DF3-3E4B-B154-B6EA24DF0CE1}"/>
                </c:ext>
              </c:extLst>
            </c:dLbl>
            <c:dLbl>
              <c:idx val="1"/>
              <c:tx>
                <c:rich>
                  <a:bodyPr/>
                  <a:lstStyle/>
                  <a:p>
                    <a:fld id="{711CD39C-8D64-4DC3-B6C2-D4D61E0294F8}" type="CELLRANGE">
                      <a:rPr lang="en-IN"/>
                      <a:pPr/>
                      <a:t>[CELLRANGE]</a:t>
                    </a:fld>
                    <a:r>
                      <a:rPr lang="en-IN" baseline="0"/>
                      <a:t>, </a:t>
                    </a:r>
                    <a:fld id="{6A42ACF7-816E-490D-A2EC-9C4205F091EF}"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DF3-3E4B-B154-B6EA24DF0CE1}"/>
                </c:ext>
              </c:extLst>
            </c:dLbl>
            <c:dLbl>
              <c:idx val="2"/>
              <c:tx>
                <c:rich>
                  <a:bodyPr/>
                  <a:lstStyle/>
                  <a:p>
                    <a:fld id="{2DA08D6B-D1F1-4B0F-B433-7F4E8BF880CE}" type="CELLRANGE">
                      <a:rPr lang="en-IN"/>
                      <a:pPr/>
                      <a:t>[CELLRANGE]</a:t>
                    </a:fld>
                    <a:r>
                      <a:rPr lang="en-IN" baseline="0"/>
                      <a:t>, </a:t>
                    </a:r>
                    <a:fld id="{B7CB6EB1-599A-4160-A700-307AA06C7196}"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DF3-3E4B-B154-B6EA24DF0CE1}"/>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0-EDF3-3E4B-B154-B6EA24DF0CE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make by me...xlsx]Attrition By Age-Group!Attrition By Age-Group</c:name>
    <c:fmtId val="2"/>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EF16-2A45-881A-73FC42DB7FCA}"/>
            </c:ext>
          </c:extLst>
        </c:ser>
        <c:dLbls>
          <c:showLegendKey val="0"/>
          <c:showVal val="0"/>
          <c:showCatName val="0"/>
          <c:showSerName val="0"/>
          <c:showPercent val="0"/>
          <c:showBubbleSize val="0"/>
        </c:dLbls>
        <c:gapWidth val="100"/>
        <c:shape val="box"/>
        <c:axId val="1694148112"/>
        <c:axId val="1666484432"/>
        <c:axId val="0"/>
      </c:bar3D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solidFill>
          <a:schemeClr val="tx2">
            <a:lumMod val="20000"/>
            <a:lumOff val="80000"/>
          </a:schemeClr>
        </a:solidFill>
        <a:ln>
          <a:solidFill>
            <a:srgbClr val="C00000"/>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279569892473119"/>
          <c:y val="5.7971014492753624E-2"/>
          <c:w val="0.65591397849462363"/>
          <c:h val="0.88405797101449279"/>
        </c:manualLayout>
      </c:layout>
      <c:doughnutChart>
        <c:varyColors val="1"/>
        <c:ser>
          <c:idx val="0"/>
          <c:order val="0"/>
          <c:dPt>
            <c:idx val="0"/>
            <c:bubble3D val="0"/>
            <c:spPr>
              <a:gradFill>
                <a:gsLst>
                  <a:gs pos="0">
                    <a:schemeClr val="accent1"/>
                  </a:gs>
                  <a:gs pos="100000">
                    <a:schemeClr val="accent6"/>
                  </a:gs>
                </a:gsLst>
                <a:lin ang="5400000" scaled="1"/>
              </a:gradFill>
              <a:ln w="19050">
                <a:noFill/>
              </a:ln>
              <a:effectLst/>
            </c:spPr>
            <c:extLst>
              <c:ext xmlns:c16="http://schemas.microsoft.com/office/drawing/2014/chart" uri="{C3380CC4-5D6E-409C-BE32-E72D297353CC}">
                <c16:uniqueId val="{00000001-EF88-D948-9500-993CCCAD96D4}"/>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EF88-D948-9500-993CCCAD96D4}"/>
              </c:ext>
            </c:extLst>
          </c:dPt>
          <c:val>
            <c:numRef>
              <c:f>Rating!$C$6:$C$7</c:f>
              <c:numCache>
                <c:formatCode>0.00%</c:formatCode>
                <c:ptCount val="2"/>
                <c:pt idx="0">
                  <c:v>0.65663265306122454</c:v>
                </c:pt>
                <c:pt idx="1">
                  <c:v>0.34336734693877546</c:v>
                </c:pt>
              </c:numCache>
            </c:numRef>
          </c:val>
          <c:extLst>
            <c:ext xmlns:c16="http://schemas.microsoft.com/office/drawing/2014/chart" uri="{C3380CC4-5D6E-409C-BE32-E72D297353CC}">
              <c16:uniqueId val="{00000004-EF88-D948-9500-993CCCAD96D4}"/>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gs>
                  <a:gs pos="100000">
                    <a:srgbClr val="7030A0"/>
                  </a:gs>
                </a:gsLst>
                <a:lin ang="5400000" scaled="1"/>
              </a:gradFill>
              <a:ln w="19050">
                <a:noFill/>
              </a:ln>
              <a:effectLst/>
            </c:spPr>
            <c:extLst>
              <c:ext xmlns:c16="http://schemas.microsoft.com/office/drawing/2014/chart" uri="{C3380CC4-5D6E-409C-BE32-E72D297353CC}">
                <c16:uniqueId val="{00000001-2050-A140-8018-58D20CE32266}"/>
              </c:ext>
            </c:extLst>
          </c:dPt>
          <c:dPt>
            <c:idx val="1"/>
            <c:bubble3D val="0"/>
            <c:spPr>
              <a:solidFill>
                <a:schemeClr val="bg1">
                  <a:lumMod val="95000"/>
                  <a:alpha val="90000"/>
                </a:schemeClr>
              </a:solidFill>
              <a:ln w="19050">
                <a:noFill/>
              </a:ln>
              <a:effectLst/>
            </c:spPr>
            <c:extLst>
              <c:ext xmlns:c16="http://schemas.microsoft.com/office/drawing/2014/chart" uri="{C3380CC4-5D6E-409C-BE32-E72D297353CC}">
                <c16:uniqueId val="{00000003-2050-A140-8018-58D20CE32266}"/>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2050-A140-8018-58D20CE3226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95000"/>
                  <a:alpha val="90000"/>
                </a:schemeClr>
              </a:solidFill>
              <a:ln w="19050">
                <a:noFill/>
              </a:ln>
              <a:effectLst/>
            </c:spPr>
            <c:extLst>
              <c:ext xmlns:c16="http://schemas.microsoft.com/office/drawing/2014/chart" uri="{C3380CC4-5D6E-409C-BE32-E72D297353CC}">
                <c16:uniqueId val="{00000001-F445-5747-BFE6-B8866D715152}"/>
              </c:ext>
            </c:extLst>
          </c:dPt>
          <c:dPt>
            <c:idx val="1"/>
            <c:bubble3D val="0"/>
            <c:spPr>
              <a:gradFill>
                <a:gsLst>
                  <a:gs pos="0">
                    <a:schemeClr val="accent5">
                      <a:lumMod val="60000"/>
                      <a:lumOff val="40000"/>
                    </a:schemeClr>
                  </a:gs>
                  <a:gs pos="100000">
                    <a:schemeClr val="accent5">
                      <a:lumMod val="50000"/>
                    </a:schemeClr>
                  </a:gs>
                </a:gsLst>
                <a:lin ang="5400000" scaled="1"/>
              </a:gradFill>
              <a:ln w="19050">
                <a:noFill/>
              </a:ln>
              <a:effectLst/>
            </c:spPr>
            <c:extLst>
              <c:ext xmlns:c16="http://schemas.microsoft.com/office/drawing/2014/chart" uri="{C3380CC4-5D6E-409C-BE32-E72D297353CC}">
                <c16:uniqueId val="{00000003-F445-5747-BFE6-B8866D715152}"/>
              </c:ext>
            </c:extLst>
          </c:dPt>
          <c:val>
            <c:numRef>
              <c:f>'Employee by Gender'!$C$11:$C$12</c:f>
              <c:numCache>
                <c:formatCode>0%</c:formatCode>
                <c:ptCount val="2"/>
                <c:pt idx="0">
                  <c:v>0.4</c:v>
                </c:pt>
                <c:pt idx="1">
                  <c:v>0.6</c:v>
                </c:pt>
              </c:numCache>
            </c:numRef>
          </c:val>
          <c:extLst>
            <c:ext xmlns:c16="http://schemas.microsoft.com/office/drawing/2014/chart" uri="{C3380CC4-5D6E-409C-BE32-E72D297353CC}">
              <c16:uniqueId val="{00000004-F445-5747-BFE6-B8866D71515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make by me...xlsx]Education-wise Attrition!Education-wise Attrition</c:name>
    <c:fmtId val="3"/>
  </c:pivotSource>
  <c:chart>
    <c:autoTitleDeleted val="1"/>
    <c:pivotFmts>
      <c:pivotFmt>
        <c:idx val="0"/>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'Education-wise Attrition'!$B$3</c:f>
              <c:strCache>
                <c:ptCount val="1"/>
                <c:pt idx="0">
                  <c:v>Total</c:v>
                </c:pt>
              </c:strCache>
            </c:strRef>
          </c:tx>
          <c:spPr>
            <a:gradFill flip="none" rotWithShape="1">
              <a:gsLst>
                <a:gs pos="0">
                  <a:schemeClr val="accent1"/>
                </a:gs>
                <a:gs pos="68000">
                  <a:srgbClr val="9FBEE4"/>
                </a:gs>
                <a:gs pos="35000">
                  <a:srgbClr val="81A5D9"/>
                </a:gs>
                <a:gs pos="100000">
                  <a:schemeClr val="accent5">
                    <a:lumMod val="40000"/>
                    <a:lumOff val="6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'Education-wise Attrition'!$A$4:$A$9</c:f>
              <c:strCache>
                <c:ptCount val="5"/>
                <c:pt idx="0">
                  <c:v>Doctoral Degree</c:v>
                </c:pt>
                <c:pt idx="1">
                  <c:v>High School</c:v>
                </c:pt>
                <c:pt idx="2">
                  <c:v>Associates Degree</c:v>
                </c:pt>
                <c:pt idx="3">
                  <c:v>Master's Degree</c:v>
                </c:pt>
                <c:pt idx="4">
                  <c:v>Bachelor's Degree</c:v>
                </c:pt>
              </c:strCache>
            </c:strRef>
          </c:cat>
          <c:val>
            <c:numRef>
              <c:f>'Education-wise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7F3-DD48-B89B-5A1DE33123D9}"/>
            </c:ext>
          </c:extLst>
        </c:ser>
        <c:dLbls>
          <c:showLegendKey val="0"/>
          <c:showVal val="0"/>
          <c:showCatName val="0"/>
          <c:showSerName val="0"/>
          <c:showPercent val="0"/>
          <c:showBubbleSize val="0"/>
        </c:dLbls>
        <c:gapWidth val="100"/>
        <c:axId val="1560426080"/>
        <c:axId val="1560909840"/>
      </c:barChart>
      <c:catAx>
        <c:axId val="156042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560909840"/>
        <c:crosses val="autoZero"/>
        <c:auto val="1"/>
        <c:lblAlgn val="ctr"/>
        <c:lblOffset val="100"/>
        <c:noMultiLvlLbl val="0"/>
      </c:catAx>
      <c:valAx>
        <c:axId val="1560909840"/>
        <c:scaling>
          <c:orientation val="minMax"/>
          <c:max val="110"/>
        </c:scaling>
        <c:delete val="1"/>
        <c:axPos val="b"/>
        <c:numFmt formatCode="General" sourceLinked="1"/>
        <c:majorTickMark val="none"/>
        <c:minorTickMark val="none"/>
        <c:tickLblPos val="nextTo"/>
        <c:crossAx val="1560426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3"/>
          <c:dPt>
            <c:idx val="0"/>
            <c:bubble3D val="0"/>
            <c:spPr>
              <a:solidFill>
                <a:schemeClr val="accent1"/>
              </a:solidFill>
              <a:ln w="19050">
                <a:noFill/>
              </a:ln>
              <a:effectLst/>
            </c:spPr>
            <c:extLst>
              <c:ext xmlns:c16="http://schemas.microsoft.com/office/drawing/2014/chart" uri="{C3380CC4-5D6E-409C-BE32-E72D297353CC}">
                <c16:uniqueId val="{00000001-7B93-CC4A-864B-7C380233025D}"/>
              </c:ext>
            </c:extLst>
          </c:dPt>
          <c:dPt>
            <c:idx val="1"/>
            <c:bubble3D val="0"/>
            <c:spPr>
              <a:gradFill>
                <a:gsLst>
                  <a:gs pos="0">
                    <a:schemeClr val="accent5">
                      <a:lumMod val="50000"/>
                    </a:schemeClr>
                  </a:gs>
                  <a:gs pos="100000">
                    <a:schemeClr val="accent1">
                      <a:lumMod val="50000"/>
                    </a:schemeClr>
                  </a:gs>
                </a:gsLst>
                <a:path path="circle">
                  <a:fillToRect l="100000" t="100000"/>
                </a:path>
              </a:gradFill>
              <a:ln w="19050">
                <a:noFill/>
              </a:ln>
              <a:effectLst/>
            </c:spPr>
            <c:extLst>
              <c:ext xmlns:c16="http://schemas.microsoft.com/office/drawing/2014/chart" uri="{C3380CC4-5D6E-409C-BE32-E72D297353CC}">
                <c16:uniqueId val="{00000003-7B93-CC4A-864B-7C380233025D}"/>
              </c:ext>
            </c:extLst>
          </c:dPt>
          <c:dPt>
            <c:idx val="2"/>
            <c:bubble3D val="0"/>
            <c:spPr>
              <a:gradFill>
                <a:gsLst>
                  <a:gs pos="0">
                    <a:schemeClr val="accent2">
                      <a:lumMod val="20000"/>
                      <a:lumOff val="80000"/>
                    </a:schemeClr>
                  </a:gs>
                  <a:gs pos="100000">
                    <a:schemeClr val="accent2">
                      <a:lumMod val="50000"/>
                    </a:schemeClr>
                  </a:gs>
                </a:gsLst>
                <a:path path="circle">
                  <a:fillToRect l="100000" t="100000"/>
                </a:path>
              </a:gradFill>
              <a:ln w="19050">
                <a:noFill/>
              </a:ln>
              <a:effectLst/>
            </c:spPr>
            <c:extLst>
              <c:ext xmlns:c16="http://schemas.microsoft.com/office/drawing/2014/chart" uri="{C3380CC4-5D6E-409C-BE32-E72D297353CC}">
                <c16:uniqueId val="{00000005-7B93-CC4A-864B-7C380233025D}"/>
              </c:ext>
            </c:extLst>
          </c:dPt>
          <c:dLbls>
            <c:dLbl>
              <c:idx val="0"/>
              <c:tx>
                <c:rich>
                  <a:bodyPr/>
                  <a:lstStyle/>
                  <a:p>
                    <a:fld id="{BD49091C-4391-473F-88CB-9F0B6DFCBE64}" type="CELLRANGE">
                      <a:rPr lang="en-IN"/>
                      <a:pPr/>
                      <a:t>[CELLRANGE]</a:t>
                    </a:fld>
                    <a:r>
                      <a:rPr lang="en-IN" baseline="0"/>
                      <a:t>, </a:t>
                    </a:r>
                    <a:fld id="{87F9A5AD-12BB-417E-A91C-E43138A5A662}"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B93-CC4A-864B-7C380233025D}"/>
                </c:ext>
              </c:extLst>
            </c:dLbl>
            <c:dLbl>
              <c:idx val="1"/>
              <c:tx>
                <c:rich>
                  <a:bodyPr/>
                  <a:lstStyle/>
                  <a:p>
                    <a:fld id="{5ED0F79D-1822-4836-BDA6-7814FA90B569}" type="CELLRANGE">
                      <a:rPr lang="en-IN"/>
                      <a:pPr/>
                      <a:t>[CELLRANGE]</a:t>
                    </a:fld>
                    <a:r>
                      <a:rPr lang="en-IN" baseline="0"/>
                      <a:t>, </a:t>
                    </a:r>
                    <a:fld id="{4305CA84-2793-4BF2-895A-E370CA8121FC}"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B93-CC4A-864B-7C380233025D}"/>
                </c:ext>
              </c:extLst>
            </c:dLbl>
            <c:dLbl>
              <c:idx val="2"/>
              <c:tx>
                <c:rich>
                  <a:bodyPr/>
                  <a:lstStyle/>
                  <a:p>
                    <a:fld id="{24C43353-0E29-4261-B8B2-BE3F18272A90}" type="CELLRANGE">
                      <a:rPr lang="en-IN"/>
                      <a:pPr/>
                      <a:t>[CELLRANGE]</a:t>
                    </a:fld>
                    <a:r>
                      <a:rPr lang="en-IN" baseline="0"/>
                      <a:t>, </a:t>
                    </a:r>
                    <a:fld id="{B04E1811-0C25-40D1-BA7C-014B2028ADD1}" type="VALUE">
                      <a:rPr lang="en-IN" baseline="0"/>
                      <a:pPr/>
                      <a:t>[VALUE]</a:t>
                    </a:fld>
                    <a:endParaRPr lang="en-IN" baseline="0"/>
                  </a:p>
                </c:rich>
              </c:tx>
              <c:dLblPos val="outEnd"/>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B93-CC4A-864B-7C380233025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'Department-wise Attrition'!$F$4:$F$6</c:f>
              <c:numCache>
                <c:formatCode>0.00%</c:formatCode>
                <c:ptCount val="3"/>
                <c:pt idx="0">
                  <c:v>5.0632911392405063E-2</c:v>
                </c:pt>
                <c:pt idx="1">
                  <c:v>0.56118143459915615</c:v>
                </c:pt>
                <c:pt idx="2">
                  <c:v>0.3881856540084388</c:v>
                </c:pt>
              </c:numCache>
            </c:numRef>
          </c:val>
          <c:extLst>
            <c:ext xmlns:c15="http://schemas.microsoft.com/office/drawing/2012/chart" uri="{02D57815-91ED-43cb-92C2-25804820EDAC}">
              <c15:datalabelsRange>
                <c15:f>'Department-wise Attrition'!$D$4:$D$6</c15:f>
                <c15:dlblRangeCache>
                  <c:ptCount val="3"/>
                  <c:pt idx="0">
                    <c:v>HR</c:v>
                  </c:pt>
                  <c:pt idx="1">
                    <c:v>R&amp;D</c:v>
                  </c:pt>
                  <c:pt idx="2">
                    <c:v>Sales</c:v>
                  </c:pt>
                </c15:dlblRangeCache>
              </c15:datalabelsRange>
            </c:ext>
            <c:ext xmlns:c16="http://schemas.microsoft.com/office/drawing/2014/chart" uri="{C3380CC4-5D6E-409C-BE32-E72D297353CC}">
              <c16:uniqueId val="{00000006-7B93-CC4A-864B-7C380233025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[HR-Employee-Analysis make by me...xlsx]Attrition By Age-Group!Attrition By Age-Group</c:name>
    <c:fmtId val="4"/>
  </c:pivotSource>
  <c:chart>
    <c:autoTitleDeleted val="1"/>
    <c:pivotFmts>
      <c:pivotFmt>
        <c:idx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Age-Group'!$B$3</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Britannic Bold" panose="020B0903060703020204" pitchFamily="34" charset="77"/>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Age-Group'!$A$4:$A$9</c:f>
              <c:strCache>
                <c:ptCount val="5"/>
                <c:pt idx="0">
                  <c:v>25 - 34</c:v>
                </c:pt>
                <c:pt idx="1">
                  <c:v>35 - 44</c:v>
                </c:pt>
                <c:pt idx="2">
                  <c:v>45 - 54</c:v>
                </c:pt>
                <c:pt idx="3">
                  <c:v>Under 25</c:v>
                </c:pt>
                <c:pt idx="4">
                  <c:v>Over 55</c:v>
                </c:pt>
              </c:strCache>
            </c:strRef>
          </c:cat>
          <c:val>
            <c:numRef>
              <c:f>'Attrition By Age-Group'!$B$4:$B$9</c:f>
              <c:numCache>
                <c:formatCode>General</c:formatCode>
                <c:ptCount val="5"/>
                <c:pt idx="0">
                  <c:v>554</c:v>
                </c:pt>
                <c:pt idx="1">
                  <c:v>505</c:v>
                </c:pt>
                <c:pt idx="2">
                  <c:v>245</c:v>
                </c:pt>
                <c:pt idx="3">
                  <c:v>97</c:v>
                </c:pt>
                <c:pt idx="4">
                  <c:v>69</c:v>
                </c:pt>
              </c:numCache>
            </c:numRef>
          </c:val>
          <c:extLst>
            <c:ext xmlns:c16="http://schemas.microsoft.com/office/drawing/2014/chart" uri="{C3380CC4-5D6E-409C-BE32-E72D297353CC}">
              <c16:uniqueId val="{00000000-88AC-804D-9BEB-AA268CC33680}"/>
            </c:ext>
          </c:extLst>
        </c:ser>
        <c:dLbls>
          <c:showLegendKey val="0"/>
          <c:showVal val="0"/>
          <c:showCatName val="0"/>
          <c:showSerName val="0"/>
          <c:showPercent val="0"/>
          <c:showBubbleSize val="0"/>
        </c:dLbls>
        <c:gapWidth val="100"/>
        <c:overlap val="-27"/>
        <c:axId val="1694148112"/>
        <c:axId val="1666484432"/>
      </c:barChart>
      <c:catAx>
        <c:axId val="169414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484432"/>
        <c:crosses val="autoZero"/>
        <c:auto val="1"/>
        <c:lblAlgn val="ctr"/>
        <c:lblOffset val="100"/>
        <c:noMultiLvlLbl val="0"/>
      </c:catAx>
      <c:valAx>
        <c:axId val="1666484432"/>
        <c:scaling>
          <c:orientation val="minMax"/>
        </c:scaling>
        <c:delete val="1"/>
        <c:axPos val="l"/>
        <c:numFmt formatCode="General" sourceLinked="1"/>
        <c:majorTickMark val="none"/>
        <c:minorTickMark val="none"/>
        <c:tickLblPos val="nextTo"/>
        <c:crossAx val="1694148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E7725989-8B5B-D341-8478-E6A4692692CA}">
          <cx:tx>
            <cx:txData>
              <cx:f>_xlchart.v1.1</cx:f>
              <cx:v>Attrition</cx:v>
            </cx:txData>
          </cx:tx>
          <cx:dataLabels pos="inEnd">
            <cx:spPr>
              <a:noFill/>
            </cx:spPr>
            <cx:visibility seriesName="0" categoryName="1" value="1"/>
          </cx:dataLabels>
          <cx:dataId val="0"/>
          <cx:layoutPr>
            <cx:parentLabelLayout val="overlapping"/>
          </cx:layoutPr>
        </cx:series>
      </cx:plotAreaRegion>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plotSurface>
          <cx:spPr>
            <a:noFill/>
            <a:ln>
              <a:solidFill>
                <a:schemeClr val="accent1">
                  <a:lumMod val="20000"/>
                  <a:lumOff val="80000"/>
                </a:schemeClr>
              </a:solidFill>
            </a:ln>
            <a:effectLst>
              <a:glow rad="177800">
                <a:schemeClr val="tx2"/>
              </a:glow>
            </a:effectLst>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axis>
    </cx:plotArea>
  </cx:chart>
  <cx:spPr>
    <a:no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E7725989-8B5B-D341-8478-E6A4692692CA}">
          <cx:tx>
            <cx:txData>
              <cx:f>_xlchart.v1.6</cx:f>
              <cx:v>Attrition</cx:v>
            </cx:txData>
          </cx:tx>
          <cx:dataLabels pos="inEnd">
            <cx:visibility seriesName="0" categoryName="1" value="1"/>
          </cx:dataLabels>
          <cx:dataId val="0"/>
          <cx:layoutPr>
            <cx:parentLabelLayout val="banner"/>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 idx="0">
              <cx:txPr>
                <a:bodyPr spcFirstLastPara="1" vertOverflow="ellipsis" horzOverflow="overflow" wrap="square" lIns="0" tIns="0" rIns="0" bIns="0" anchor="ctr" anchorCtr="1"/>
                <a:lstStyle/>
                <a:p>
                  <a:pPr algn="ctr" rtl="0">
                    <a:defRPr/>
                  </a:pPr>
                  <a:r>
                    <a:rPr lang="en-GB" sz="1800" b="0" i="0" u="none" strike="noStrike" baseline="0">
                      <a:solidFill>
                        <a:schemeClr val="bg1"/>
                      </a:solidFill>
                      <a:latin typeface="Britannic Bold" panose="020B0903060703020204" pitchFamily="34" charset="77"/>
                    </a:rPr>
                    <a:t>327</a:t>
                  </a:r>
                </a:p>
              </cx:txPr>
              <cx:visibility seriesName="0" categoryName="0" value="1"/>
            </cx:dataLabel>
          </cx:dataLabels>
          <cx:dataId val="0"/>
        </cx:series>
      </cx:plotAreaRegion>
      <cx:axis id="0">
        <cx:catScaling gapWidth="0.0599999987"/>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_xlchart.v1.12</cx:f>
      </cx:numDim>
    </cx:data>
  </cx:chartData>
  <cx:chart>
    <cx:plotArea>
      <cx:plotAreaRegion>
        <cx:series layoutId="treemap" uniqueId="{E7725989-8B5B-D341-8478-E6A4692692CA}">
          <cx:tx>
            <cx:txData>
              <cx:f>_xlchart.v1.11</cx:f>
              <cx:v>Attrition</cx:v>
            </cx:txData>
          </cx:tx>
          <cx:dataLabels pos="inEnd">
            <cx:txPr>
              <a:bodyPr spcFirstLastPara="1" vertOverflow="ellipsis" horzOverflow="overflow" wrap="square" lIns="0" tIns="0" rIns="0" bIns="0" anchor="ctr" anchorCtr="1"/>
              <a:lstStyle/>
              <a:p>
                <a:pPr algn="ctr" rtl="0">
                  <a:defRPr sz="1100"/>
                </a:pPr>
                <a:endParaRPr lang="en-GB" sz="1100" b="0" i="0" u="none" strike="noStrike" baseline="0">
                  <a:solidFill>
                    <a:sysClr val="window" lastClr="FFFFFF">
                      <a:lumMod val="95000"/>
                    </a:sysClr>
                  </a:solidFill>
                  <a:latin typeface="Calibri" panose="020F0502020204030204"/>
                </a:endParaRPr>
              </a:p>
            </cx:txPr>
            <cx:visibility seriesName="0" categoryName="1" value="1"/>
          </cx:dataLabels>
          <cx:dataId val="0"/>
          <cx:layoutPr>
            <cx:parentLabelLayout val="overlapping"/>
          </cx:layoutPr>
        </cx:series>
      </cx:plotAreaRegion>
    </cx:plotArea>
  </cx:chart>
  <cx:spPr>
    <a:noFill/>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_xlchart.v2.13</cx:f>
      </cx:strDim>
      <cx:numDim type="val">
        <cx:f>_xlchart.v2.14</cx:f>
      </cx:numDim>
    </cx:data>
  </cx:chartData>
  <cx:chart>
    <cx:plotArea>
      <cx:plotAreaRegion>
        <cx:plotSurface>
          <cx:spPr>
            <a:noFill/>
            <a:ln>
              <a:noFill/>
            </a:ln>
          </cx:spPr>
        </cx:plotSurface>
        <cx:series layoutId="funnel" uniqueId="{15126953-9A30-F845-82EC-D421AFC96F7C}">
          <cx:dataLabels>
            <cx:txPr>
              <a:bodyPr spcFirstLastPara="1" vertOverflow="ellipsis" horzOverflow="overflow" wrap="square" lIns="0" tIns="0" rIns="0" bIns="0" anchor="ctr" anchorCtr="1"/>
              <a:lstStyle/>
              <a:p>
                <a:pPr algn="ctr" rtl="0">
                  <a:defRPr sz="1800">
                    <a:solidFill>
                      <a:schemeClr val="bg1"/>
                    </a:solidFill>
                    <a:latin typeface="Britannic Bold" panose="020B0903060703020204" pitchFamily="34" charset="77"/>
                    <a:ea typeface="Britannic Bold" panose="020B0903060703020204" pitchFamily="34" charset="77"/>
                    <a:cs typeface="Britannic Bold" panose="020B0903060703020204" pitchFamily="34" charset="77"/>
                  </a:defRPr>
                </a:pPr>
                <a:endParaRPr lang="en-GB" sz="1800" b="0" i="0" u="none" strike="noStrike" baseline="0">
                  <a:solidFill>
                    <a:schemeClr val="bg1"/>
                  </a:solidFill>
                  <a:latin typeface="Britannic Bold" panose="020B0903060703020204" pitchFamily="34" charset="77"/>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6.xml"/><Relationship Id="rId18" Type="http://schemas.openxmlformats.org/officeDocument/2006/relationships/image" Target="../media/image10.svg"/><Relationship Id="rId3" Type="http://schemas.openxmlformats.org/officeDocument/2006/relationships/chart" Target="../charts/chart3.xml"/><Relationship Id="rId7" Type="http://schemas.openxmlformats.org/officeDocument/2006/relationships/image" Target="../media/image4.svg"/><Relationship Id="rId12" Type="http://schemas.openxmlformats.org/officeDocument/2006/relationships/chart" Target="../charts/chart5.xml"/><Relationship Id="rId17" Type="http://schemas.openxmlformats.org/officeDocument/2006/relationships/image" Target="../media/image9.svg"/><Relationship Id="rId2" Type="http://schemas.openxmlformats.org/officeDocument/2006/relationships/chart" Target="../charts/chart2.xml"/><Relationship Id="rId16" Type="http://schemas.openxmlformats.org/officeDocument/2006/relationships/image" Target="../media/image8.svg"/><Relationship Id="rId1" Type="http://schemas.openxmlformats.org/officeDocument/2006/relationships/chart" Target="../charts/chart1.xml"/><Relationship Id="rId6" Type="http://schemas.openxmlformats.org/officeDocument/2006/relationships/image" Target="../media/image3.png"/><Relationship Id="rId11" Type="http://schemas.microsoft.com/office/2014/relationships/chartEx" Target="../charts/chartEx1.xml"/><Relationship Id="rId5" Type="http://schemas.openxmlformats.org/officeDocument/2006/relationships/image" Target="../media/image2.svg"/><Relationship Id="rId15" Type="http://schemas.openxmlformats.org/officeDocument/2006/relationships/image" Target="../media/image7.png"/><Relationship Id="rId10" Type="http://schemas.openxmlformats.org/officeDocument/2006/relationships/image" Target="../media/image6.svg"/><Relationship Id="rId4" Type="http://schemas.openxmlformats.org/officeDocument/2006/relationships/image" Target="../media/image1.png"/><Relationship Id="rId9" Type="http://schemas.openxmlformats.org/officeDocument/2006/relationships/image" Target="../media/image5.png"/><Relationship Id="rId14"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_rels/drawing10.xml.rels><?xml version="1.0" encoding="UTF-8" standalone="yes"?>
<Relationships xmlns="http://schemas.openxmlformats.org/package/2006/relationships"><Relationship Id="rId8" Type="http://schemas.microsoft.com/office/2014/relationships/chartEx" Target="../charts/chartEx6.xml"/><Relationship Id="rId3" Type="http://schemas.openxmlformats.org/officeDocument/2006/relationships/chart" Target="../charts/chart15.xml"/><Relationship Id="rId7" Type="http://schemas.openxmlformats.org/officeDocument/2006/relationships/chart" Target="../charts/chart18.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7.xml"/><Relationship Id="rId5" Type="http://schemas.microsoft.com/office/2014/relationships/chartEx" Target="../charts/chartEx5.xml"/><Relationship Id="rId4"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1</xdr:col>
      <xdr:colOff>403860</xdr:colOff>
      <xdr:row>0</xdr:row>
      <xdr:rowOff>114300</xdr:rowOff>
    </xdr:from>
    <xdr:to>
      <xdr:col>17</xdr:col>
      <xdr:colOff>518160</xdr:colOff>
      <xdr:row>32</xdr:row>
      <xdr:rowOff>144780</xdr:rowOff>
    </xdr:to>
    <xdr:grpSp>
      <xdr:nvGrpSpPr>
        <xdr:cNvPr id="2" name="Group 1">
          <a:extLst>
            <a:ext uri="{FF2B5EF4-FFF2-40B4-BE49-F238E27FC236}">
              <a16:creationId xmlns:a16="http://schemas.microsoft.com/office/drawing/2014/main" id="{901CFA0A-E62B-4D26-BC0B-E333403F7EEB}"/>
            </a:ext>
          </a:extLst>
        </xdr:cNvPr>
        <xdr:cNvGrpSpPr/>
      </xdr:nvGrpSpPr>
      <xdr:grpSpPr>
        <a:xfrm>
          <a:off x="1074420" y="114300"/>
          <a:ext cx="10866120" cy="6370320"/>
          <a:chOff x="1752601" y="225949"/>
          <a:chExt cx="13249720" cy="7767371"/>
        </a:xfrm>
      </xdr:grpSpPr>
      <xdr:sp macro="" textlink="">
        <xdr:nvSpPr>
          <xdr:cNvPr id="3" name="Rectangle: Rounded Corners 2">
            <a:extLst>
              <a:ext uri="{FF2B5EF4-FFF2-40B4-BE49-F238E27FC236}">
                <a16:creationId xmlns:a16="http://schemas.microsoft.com/office/drawing/2014/main" id="{9C8D43F2-CF45-94E9-CAF1-A5EFA012C25D}"/>
              </a:ext>
            </a:extLst>
          </xdr:cNvPr>
          <xdr:cNvSpPr/>
        </xdr:nvSpPr>
        <xdr:spPr>
          <a:xfrm>
            <a:off x="1752601" y="873799"/>
            <a:ext cx="13055461" cy="7119521"/>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61AC208A-CF28-7463-4B96-8CDC2F3F143C}"/>
              </a:ext>
            </a:extLst>
          </xdr:cNvPr>
          <xdr:cNvSpPr/>
        </xdr:nvSpPr>
        <xdr:spPr>
          <a:xfrm>
            <a:off x="1788777" y="225949"/>
            <a:ext cx="8429175" cy="920829"/>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sz="3800">
                <a:solidFill>
                  <a:srgbClr val="7030A0"/>
                </a:solidFill>
                <a:latin typeface="Lato Black" panose="020F0A02020204030203" pitchFamily="34" charset="0"/>
              </a:rPr>
              <a:t>HR</a:t>
            </a:r>
            <a:r>
              <a:rPr lang="en-IN" sz="3800" baseline="0">
                <a:solidFill>
                  <a:srgbClr val="7030A0"/>
                </a:solidFill>
                <a:latin typeface="Lato Black" panose="020F0A02020204030203" pitchFamily="34" charset="0"/>
              </a:rPr>
              <a:t> ANALYTICS DASHBOARD</a:t>
            </a:r>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020A63D3-6CAC-4B1A-80AE-41F71C1BFE39}"/>
              </a:ext>
            </a:extLst>
          </xdr:cNvPr>
          <xdr:cNvSpPr/>
        </xdr:nvSpPr>
        <xdr:spPr>
          <a:xfrm>
            <a:off x="10245084" y="225949"/>
            <a:ext cx="4684883" cy="929769"/>
          </a:xfrm>
          <a:prstGeom prst="roundRect">
            <a:avLst>
              <a:gd name="adj" fmla="val 7872"/>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r>
              <a:rPr lang="en-IN">
                <a:solidFill>
                  <a:srgbClr val="FF0000"/>
                </a:solidFill>
              </a:rPr>
              <a:t>                       </a:t>
            </a:r>
            <a:r>
              <a:rPr lang="en-IN" baseline="0">
                <a:solidFill>
                  <a:srgbClr val="FF0000"/>
                </a:solidFill>
              </a:rPr>
              <a:t>            </a:t>
            </a:r>
            <a:r>
              <a:rPr lang="en-IN">
                <a:solidFill>
                  <a:srgbClr val="FF0000"/>
                </a:solidFill>
              </a:rPr>
              <a:t>JOB</a:t>
            </a:r>
          </a:p>
          <a:p>
            <a:pPr algn="ctr"/>
            <a:r>
              <a:rPr lang="en-IN">
                <a:solidFill>
                  <a:srgbClr val="FF0000"/>
                </a:solidFill>
              </a:rPr>
              <a:t>                 SATISFACTION</a:t>
            </a:r>
          </a:p>
          <a:p>
            <a:pPr algn="l"/>
            <a:r>
              <a:rPr lang="en-IN">
                <a:solidFill>
                  <a:srgbClr val="FF0000"/>
                </a:solidFill>
              </a:rPr>
              <a:t>                                  RATING     </a:t>
            </a:r>
          </a:p>
        </xdr:txBody>
      </xdr:sp>
      <xdr:sp macro="" textlink="">
        <xdr:nvSpPr>
          <xdr:cNvPr id="6" name="Rectangle: Rounded Corners 5">
            <a:extLst>
              <a:ext uri="{FF2B5EF4-FFF2-40B4-BE49-F238E27FC236}">
                <a16:creationId xmlns:a16="http://schemas.microsoft.com/office/drawing/2014/main" id="{6E820F49-47C0-8BDC-8D75-72C41EF2F51C}"/>
              </a:ext>
            </a:extLst>
          </xdr:cNvPr>
          <xdr:cNvSpPr/>
        </xdr:nvSpPr>
        <xdr:spPr>
          <a:xfrm>
            <a:off x="5870249" y="2283158"/>
            <a:ext cx="4819651" cy="277288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solidFill>
                <a:schemeClr val="accent6"/>
              </a:solidFill>
            </a:endParaRPr>
          </a:p>
          <a:p>
            <a:pPr algn="ctr"/>
            <a:r>
              <a:rPr lang="en-IN">
                <a:solidFill>
                  <a:schemeClr val="accent6"/>
                </a:solidFill>
              </a:rPr>
              <a:t>EDUCATION WISE ATTRITION</a:t>
            </a:r>
          </a:p>
          <a:p>
            <a:pPr algn="ctr"/>
            <a:endParaRPr lang="en-IN"/>
          </a:p>
          <a:p>
            <a:pPr algn="ctr"/>
            <a:endParaRPr lang="en-IN"/>
          </a:p>
          <a:p>
            <a:pPr algn="ctr"/>
            <a:endParaRPr lang="en-IN"/>
          </a:p>
          <a:p>
            <a:pPr algn="ctr"/>
            <a:endParaRPr lang="en-IN"/>
          </a:p>
          <a:p>
            <a:pPr algn="ctr"/>
            <a:endParaRPr lang="en-IN"/>
          </a:p>
          <a:p>
            <a:pPr algn="ctr"/>
            <a:endParaRPr lang="en-IN"/>
          </a:p>
          <a:p>
            <a:pPr algn="ctr"/>
            <a:endParaRPr lang="en-IN"/>
          </a:p>
        </xdr:txBody>
      </xdr:sp>
      <xdr:grpSp>
        <xdr:nvGrpSpPr>
          <xdr:cNvPr id="7" name="Group 6">
            <a:extLst>
              <a:ext uri="{FF2B5EF4-FFF2-40B4-BE49-F238E27FC236}">
                <a16:creationId xmlns:a16="http://schemas.microsoft.com/office/drawing/2014/main" id="{2254541A-EC52-2F43-57E4-557C1C6C8AED}"/>
              </a:ext>
            </a:extLst>
          </xdr:cNvPr>
          <xdr:cNvGrpSpPr/>
        </xdr:nvGrpSpPr>
        <xdr:grpSpPr>
          <a:xfrm>
            <a:off x="1822527" y="1209358"/>
            <a:ext cx="13134572" cy="1050112"/>
            <a:chOff x="1822324" y="1209358"/>
            <a:chExt cx="13247543" cy="1050112"/>
          </a:xfrm>
        </xdr:grpSpPr>
        <xdr:sp macro="" textlink="KPI!A7">
          <xdr:nvSpPr>
            <xdr:cNvPr id="22" name="Rectangle: Rounded Corners 21">
              <a:extLst>
                <a:ext uri="{FF2B5EF4-FFF2-40B4-BE49-F238E27FC236}">
                  <a16:creationId xmlns:a16="http://schemas.microsoft.com/office/drawing/2014/main" id="{86B2FD84-B80D-D664-0FED-DFDF461BD384}"/>
                </a:ext>
              </a:extLst>
            </xdr:cNvPr>
            <xdr:cNvSpPr/>
          </xdr:nvSpPr>
          <xdr:spPr>
            <a:xfrm>
              <a:off x="1822324" y="1218298"/>
              <a:ext cx="2602058" cy="1041172"/>
            </a:xfrm>
            <a:prstGeom prst="roundRect">
              <a:avLst>
                <a:gd name="adj" fmla="val 6048"/>
              </a:avLst>
            </a:prstGeom>
            <a:solidFill>
              <a:srgbClr val="00B0F0">
                <a:alpha val="95000"/>
              </a:srgb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0" i="0" u="none" strike="noStrike">
                  <a:solidFill>
                    <a:srgbClr val="000000"/>
                  </a:solidFill>
                  <a:latin typeface="Calibri"/>
                  <a:ea typeface="Calibri"/>
                  <a:cs typeface="Calibri"/>
                </a:rPr>
                <a:t>TOTAL EMPLOYEES</a:t>
              </a:r>
            </a:p>
            <a:p>
              <a:pPr algn="ctr"/>
              <a:fld id="{63549679-43A0-4DFA-A134-15ADC70BE14C}" type="TxLink">
                <a:rPr lang="en-US" sz="1200" b="0" i="0" u="none" strike="noStrike">
                  <a:solidFill>
                    <a:srgbClr val="000000"/>
                  </a:solidFill>
                  <a:latin typeface="Calibri"/>
                  <a:ea typeface="Calibri"/>
                  <a:cs typeface="Calibri"/>
                </a:rPr>
                <a:pPr algn="ctr"/>
                <a:t>1470</a:t>
              </a:fld>
              <a:endParaRPr lang="en-IN">
                <a:solidFill>
                  <a:srgbClr val="FF0000"/>
                </a:solidFill>
              </a:endParaRPr>
            </a:p>
          </xdr:txBody>
        </xdr:sp>
        <xdr:sp macro="" textlink="KPI!B7">
          <xdr:nvSpPr>
            <xdr:cNvPr id="23" name="Rectangle: Rounded Corners 22">
              <a:extLst>
                <a:ext uri="{FF2B5EF4-FFF2-40B4-BE49-F238E27FC236}">
                  <a16:creationId xmlns:a16="http://schemas.microsoft.com/office/drawing/2014/main" id="{E018E59B-861A-37EA-7BB0-A027761A2C19}"/>
                </a:ext>
              </a:extLst>
            </xdr:cNvPr>
            <xdr:cNvSpPr/>
          </xdr:nvSpPr>
          <xdr:spPr>
            <a:xfrm>
              <a:off x="4520690" y="1209358"/>
              <a:ext cx="2667798" cy="1019171"/>
            </a:xfrm>
            <a:prstGeom prst="roundRect">
              <a:avLst>
                <a:gd name="adj" fmla="val 6048"/>
              </a:avLst>
            </a:prstGeom>
            <a:solidFill>
              <a:schemeClr val="accent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0" i="0" u="none" strike="noStrike">
                  <a:solidFill>
                    <a:srgbClr val="000000"/>
                  </a:solidFill>
                  <a:latin typeface="Calibri"/>
                  <a:ea typeface="Calibri"/>
                  <a:cs typeface="Calibri"/>
                </a:rPr>
                <a:t>ATTRITION</a:t>
              </a:r>
            </a:p>
            <a:p>
              <a:pPr algn="ctr"/>
              <a:fld id="{7A326911-EEB0-4290-9CC9-9F9E2EBA07DD}" type="TxLink">
                <a:rPr lang="en-US" sz="1200" b="0" i="0" u="none" strike="noStrike">
                  <a:solidFill>
                    <a:srgbClr val="000000"/>
                  </a:solidFill>
                  <a:latin typeface="Calibri"/>
                  <a:ea typeface="Calibri"/>
                  <a:cs typeface="Calibri"/>
                </a:rPr>
                <a:pPr algn="ctr"/>
                <a:t>237</a:t>
              </a:fld>
              <a:endParaRPr lang="en-IN"/>
            </a:p>
          </xdr:txBody>
        </xdr:sp>
        <xdr:sp macro="" textlink="KPI!D7">
          <xdr:nvSpPr>
            <xdr:cNvPr id="24" name="Rectangle: Rounded Corners 23">
              <a:extLst>
                <a:ext uri="{FF2B5EF4-FFF2-40B4-BE49-F238E27FC236}">
                  <a16:creationId xmlns:a16="http://schemas.microsoft.com/office/drawing/2014/main" id="{5C02F62C-5C8A-8F32-DF86-D769FDB8E2ED}"/>
                </a:ext>
              </a:extLst>
            </xdr:cNvPr>
            <xdr:cNvSpPr/>
          </xdr:nvSpPr>
          <xdr:spPr>
            <a:xfrm>
              <a:off x="7278924" y="1209358"/>
              <a:ext cx="2602058" cy="1014144"/>
            </a:xfrm>
            <a:prstGeom prst="roundRect">
              <a:avLst>
                <a:gd name="adj" fmla="val 6048"/>
              </a:avLst>
            </a:prstGeom>
            <a:solidFill>
              <a:srgbClr val="92D050">
                <a:alpha val="95000"/>
              </a:srgb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200" b="0" i="0" u="none" strike="noStrike">
                <a:solidFill>
                  <a:srgbClr val="000000"/>
                </a:solidFill>
                <a:latin typeface="Calibri"/>
                <a:ea typeface="Calibri"/>
                <a:cs typeface="Calibri"/>
              </a:endParaRPr>
            </a:p>
            <a:p>
              <a:pPr algn="ctr"/>
              <a:r>
                <a:rPr lang="en-US" sz="1200" b="0" i="0" u="none" strike="noStrike">
                  <a:solidFill>
                    <a:srgbClr val="000000"/>
                  </a:solidFill>
                  <a:latin typeface="Calibri"/>
                  <a:ea typeface="Calibri"/>
                  <a:cs typeface="Calibri"/>
                </a:rPr>
                <a:t>ACTIVE EMPLOYEES</a:t>
              </a:r>
            </a:p>
            <a:p>
              <a:pPr algn="ctr"/>
              <a:fld id="{FC671E61-4DB9-4E4A-B70F-219DB42AC61F}" type="TxLink">
                <a:rPr lang="en-US" sz="1200" b="0" i="0" u="none" strike="noStrike">
                  <a:solidFill>
                    <a:srgbClr val="000000"/>
                  </a:solidFill>
                  <a:latin typeface="Calibri"/>
                  <a:ea typeface="Calibri"/>
                  <a:cs typeface="Calibri"/>
                </a:rPr>
                <a:pPr algn="ctr"/>
                <a:t>1233</a:t>
              </a:fld>
              <a:endParaRPr lang="en-IN"/>
            </a:p>
          </xdr:txBody>
        </xdr:sp>
        <xdr:sp macro="" textlink="KPI!E7">
          <xdr:nvSpPr>
            <xdr:cNvPr id="25" name="Rectangle: Rounded Corners 24">
              <a:extLst>
                <a:ext uri="{FF2B5EF4-FFF2-40B4-BE49-F238E27FC236}">
                  <a16:creationId xmlns:a16="http://schemas.microsoft.com/office/drawing/2014/main" id="{7ABF5CF5-D739-2DAF-6E2B-20F2C5056136}"/>
                </a:ext>
              </a:extLst>
            </xdr:cNvPr>
            <xdr:cNvSpPr/>
          </xdr:nvSpPr>
          <xdr:spPr>
            <a:xfrm>
              <a:off x="9947130" y="1215714"/>
              <a:ext cx="2602058" cy="998848"/>
            </a:xfrm>
            <a:prstGeom prst="roundRect">
              <a:avLst>
                <a:gd name="adj" fmla="val 6048"/>
              </a:avLst>
            </a:prstGeom>
            <a:solidFill>
              <a:schemeClr val="accent2">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0" i="0" u="none" strike="noStrike">
                  <a:solidFill>
                    <a:srgbClr val="000000"/>
                  </a:solidFill>
                  <a:latin typeface="Calibri"/>
                  <a:ea typeface="Calibri"/>
                  <a:cs typeface="Calibri"/>
                </a:rPr>
                <a:t>ATTITION RATE</a:t>
              </a:r>
            </a:p>
            <a:p>
              <a:pPr algn="ctr"/>
              <a:fld id="{D833CD49-C16A-4568-85AD-4BB262C117C9}" type="TxLink">
                <a:rPr lang="en-US" sz="1200" b="0" i="0" u="none" strike="noStrike">
                  <a:solidFill>
                    <a:srgbClr val="000000"/>
                  </a:solidFill>
                  <a:latin typeface="Calibri"/>
                  <a:ea typeface="Calibri"/>
                  <a:cs typeface="Calibri"/>
                </a:rPr>
                <a:pPr algn="ctr"/>
                <a:t>16.12%</a:t>
              </a:fld>
              <a:endParaRPr lang="en-IN"/>
            </a:p>
          </xdr:txBody>
        </xdr:sp>
        <xdr:sp macro="" textlink="KPI!C7">
          <xdr:nvSpPr>
            <xdr:cNvPr id="26" name="Rectangle: Rounded Corners 25">
              <a:extLst>
                <a:ext uri="{FF2B5EF4-FFF2-40B4-BE49-F238E27FC236}">
                  <a16:creationId xmlns:a16="http://schemas.microsoft.com/office/drawing/2014/main" id="{9F0DC306-86EE-A18B-A91C-CB3A3A0C67D9}"/>
                </a:ext>
              </a:extLst>
            </xdr:cNvPr>
            <xdr:cNvSpPr/>
          </xdr:nvSpPr>
          <xdr:spPr>
            <a:xfrm>
              <a:off x="12603273" y="1218297"/>
              <a:ext cx="2466594" cy="996265"/>
            </a:xfrm>
            <a:prstGeom prst="roundRect">
              <a:avLst>
                <a:gd name="adj" fmla="val 6048"/>
              </a:avLst>
            </a:prstGeom>
            <a:solidFill>
              <a:srgbClr val="FFC000">
                <a:alpha val="95000"/>
              </a:srgb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200" b="0" i="0" u="none" strike="noStrike">
                  <a:solidFill>
                    <a:srgbClr val="000000"/>
                  </a:solidFill>
                  <a:latin typeface="Calibri"/>
                  <a:ea typeface="Calibri"/>
                  <a:cs typeface="Calibri"/>
                </a:rPr>
                <a:t>AVERAGE</a:t>
              </a:r>
              <a:r>
                <a:rPr lang="en-US" sz="1200" b="0" i="0" u="none" strike="noStrike" baseline="0">
                  <a:solidFill>
                    <a:srgbClr val="000000"/>
                  </a:solidFill>
                  <a:latin typeface="Calibri"/>
                  <a:ea typeface="Calibri"/>
                  <a:cs typeface="Calibri"/>
                </a:rPr>
                <a:t> AGE</a:t>
              </a:r>
              <a:endParaRPr lang="en-US" sz="1200" b="0" i="0" u="none" strike="noStrike">
                <a:solidFill>
                  <a:srgbClr val="000000"/>
                </a:solidFill>
                <a:latin typeface="Calibri"/>
                <a:ea typeface="Calibri"/>
                <a:cs typeface="Calibri"/>
              </a:endParaRPr>
            </a:p>
            <a:p>
              <a:pPr algn="ctr"/>
              <a:fld id="{27ECD687-0231-4862-B10E-04CA76817CB8}" type="TxLink">
                <a:rPr lang="en-US" sz="1200" b="0" i="0" u="none" strike="noStrike">
                  <a:solidFill>
                    <a:srgbClr val="000000"/>
                  </a:solidFill>
                  <a:latin typeface="Calibri"/>
                  <a:ea typeface="Calibri"/>
                  <a:cs typeface="Calibri"/>
                </a:rPr>
                <a:pPr algn="ctr"/>
                <a:t>36.9</a:t>
              </a:fld>
              <a:endParaRPr lang="en-IN"/>
            </a:p>
          </xdr:txBody>
        </xdr:sp>
      </xdr:grpSp>
      <xdr:grpSp>
        <xdr:nvGrpSpPr>
          <xdr:cNvPr id="8" name="Group 7">
            <a:extLst>
              <a:ext uri="{FF2B5EF4-FFF2-40B4-BE49-F238E27FC236}">
                <a16:creationId xmlns:a16="http://schemas.microsoft.com/office/drawing/2014/main" id="{CAE68A2D-FEFE-3C5B-8EB2-C31E0BCF5EE2}"/>
              </a:ext>
            </a:extLst>
          </xdr:cNvPr>
          <xdr:cNvGrpSpPr/>
        </xdr:nvGrpSpPr>
        <xdr:grpSpPr>
          <a:xfrm>
            <a:off x="1847145" y="5162549"/>
            <a:ext cx="3867930" cy="2742931"/>
            <a:chOff x="1847145" y="2304894"/>
            <a:chExt cx="3867930" cy="2807082"/>
          </a:xfrm>
        </xdr:grpSpPr>
        <xdr:sp macro="" textlink="">
          <xdr:nvSpPr>
            <xdr:cNvPr id="20" name="Rectangle: Rounded Corners 19">
              <a:extLst>
                <a:ext uri="{FF2B5EF4-FFF2-40B4-BE49-F238E27FC236}">
                  <a16:creationId xmlns:a16="http://schemas.microsoft.com/office/drawing/2014/main" id="{B880733B-3CC5-8352-C5F2-ABF0B7643A4A}"/>
                </a:ext>
              </a:extLst>
            </xdr:cNvPr>
            <xdr:cNvSpPr/>
          </xdr:nvSpPr>
          <xdr:spPr>
            <a:xfrm>
              <a:off x="1847145" y="2304894"/>
              <a:ext cx="3867930" cy="2807082"/>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solidFill>
                    <a:srgbClr val="00B050"/>
                  </a:solidFill>
                </a:rPr>
                <a:t>DEPARTMENT WISE ATTRITION</a:t>
              </a:r>
            </a:p>
            <a:p>
              <a:pPr algn="ctr"/>
              <a:endParaRPr lang="en-IN">
                <a:solidFill>
                  <a:srgbClr val="00B050"/>
                </a:solidFill>
              </a:endParaRPr>
            </a:p>
            <a:p>
              <a:pPr algn="ctr"/>
              <a:endParaRPr lang="en-IN">
                <a:solidFill>
                  <a:srgbClr val="00B050"/>
                </a:solidFill>
              </a:endParaRPr>
            </a:p>
            <a:p>
              <a:pPr algn="ctr"/>
              <a:endParaRPr lang="en-IN">
                <a:solidFill>
                  <a:srgbClr val="00B050"/>
                </a:solidFill>
              </a:endParaRPr>
            </a:p>
            <a:p>
              <a:pPr algn="ctr"/>
              <a:endParaRPr lang="en-IN">
                <a:solidFill>
                  <a:srgbClr val="00B050"/>
                </a:solidFill>
              </a:endParaRPr>
            </a:p>
            <a:p>
              <a:pPr algn="ctr"/>
              <a:endParaRPr lang="en-IN">
                <a:solidFill>
                  <a:srgbClr val="00B050"/>
                </a:solidFill>
              </a:endParaRPr>
            </a:p>
            <a:p>
              <a:pPr algn="ctr"/>
              <a:endParaRPr lang="en-IN">
                <a:solidFill>
                  <a:srgbClr val="00B050"/>
                </a:solidFill>
              </a:endParaRPr>
            </a:p>
            <a:p>
              <a:pPr algn="ctr"/>
              <a:endParaRPr lang="en-IN">
                <a:solidFill>
                  <a:srgbClr val="00B050"/>
                </a:solidFill>
              </a:endParaRPr>
            </a:p>
          </xdr:txBody>
        </xdr:sp>
        <xdr:cxnSp macro="">
          <xdr:nvCxnSpPr>
            <xdr:cNvPr id="21" name="Straight Connector 20">
              <a:extLst>
                <a:ext uri="{FF2B5EF4-FFF2-40B4-BE49-F238E27FC236}">
                  <a16:creationId xmlns:a16="http://schemas.microsoft.com/office/drawing/2014/main" id="{27C5B86F-D8D9-E4BD-A264-78EB1DE9B41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C35A574F-2EDE-201C-5F70-317093DC9E9C}"/>
              </a:ext>
            </a:extLst>
          </xdr:cNvPr>
          <xdr:cNvCxnSpPr>
            <a:cxnSpLocks/>
          </xdr:cNvCxnSpPr>
        </xdr:nvCxnSpPr>
        <xdr:spPr>
          <a:xfrm flipH="1">
            <a:off x="5703852" y="2836912"/>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DAD524D0-E7A0-D1BB-4C85-AACEE458F07D}"/>
              </a:ext>
            </a:extLst>
          </xdr:cNvPr>
          <xdr:cNvSpPr/>
        </xdr:nvSpPr>
        <xdr:spPr>
          <a:xfrm>
            <a:off x="10735086" y="2255348"/>
            <a:ext cx="4240103" cy="2848436"/>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a:p>
            <a:pPr algn="ctr"/>
            <a:r>
              <a:rPr lang="en-IN">
                <a:solidFill>
                  <a:srgbClr val="00B050"/>
                </a:solidFill>
              </a:rPr>
              <a:t>ATTRITION BY JOB ROLE</a:t>
            </a:r>
          </a:p>
          <a:p>
            <a:pPr algn="ctr"/>
            <a:endParaRPr lang="en-IN"/>
          </a:p>
          <a:p>
            <a:pPr algn="ctr"/>
            <a:endParaRPr lang="en-IN"/>
          </a:p>
          <a:p>
            <a:pPr algn="ctr"/>
            <a:endParaRPr lang="en-IN"/>
          </a:p>
          <a:p>
            <a:pPr algn="ctr"/>
            <a:endParaRPr lang="en-IN"/>
          </a:p>
          <a:p>
            <a:pPr algn="ctr"/>
            <a:endParaRPr lang="en-IN"/>
          </a:p>
          <a:p>
            <a:pPr algn="ctr"/>
            <a:endParaRPr lang="en-IN"/>
          </a:p>
          <a:p>
            <a:pPr algn="ctr"/>
            <a:endParaRPr lang="en-IN"/>
          </a:p>
          <a:p>
            <a:pPr algn="ctr"/>
            <a:endParaRPr lang="en-IN"/>
          </a:p>
        </xdr:txBody>
      </xdr:sp>
      <xdr:cxnSp macro="">
        <xdr:nvCxnSpPr>
          <xdr:cNvPr id="11" name="Straight Connector 10">
            <a:extLst>
              <a:ext uri="{FF2B5EF4-FFF2-40B4-BE49-F238E27FC236}">
                <a16:creationId xmlns:a16="http://schemas.microsoft.com/office/drawing/2014/main" id="{32F810FB-558C-A16F-DE2B-9FEF76C8B153}"/>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38830B1B-BE28-857A-9DAA-AB135D05778E}"/>
              </a:ext>
            </a:extLst>
          </xdr:cNvPr>
          <xdr:cNvSpPr/>
        </xdr:nvSpPr>
        <xdr:spPr>
          <a:xfrm>
            <a:off x="1780793" y="2308989"/>
            <a:ext cx="4014555" cy="2750400"/>
          </a:xfrm>
          <a:prstGeom prst="roundRect">
            <a:avLst>
              <a:gd name="adj" fmla="val 3303"/>
            </a:avLst>
          </a:prstGeom>
          <a:noFill/>
          <a:ln>
            <a:solidFill>
              <a:schemeClr val="accent1">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a:p>
            <a:pPr algn="ctr"/>
            <a:r>
              <a:rPr lang="en-IN">
                <a:solidFill>
                  <a:srgbClr val="00B050"/>
                </a:solidFill>
              </a:rPr>
              <a:t>TOTAL EMPLOYEES</a:t>
            </a:r>
            <a:r>
              <a:rPr lang="en-IN" baseline="0">
                <a:solidFill>
                  <a:srgbClr val="00B050"/>
                </a:solidFill>
              </a:rPr>
              <a:t> BY GENDER</a:t>
            </a:r>
          </a:p>
          <a:p>
            <a:pPr algn="ctr"/>
            <a:endParaRPr lang="en-IN" baseline="0">
              <a:solidFill>
                <a:srgbClr val="FFFF00"/>
              </a:solidFill>
            </a:endParaRPr>
          </a:p>
          <a:p>
            <a:pPr algn="ctr"/>
            <a:endParaRPr lang="en-IN" baseline="0">
              <a:ln>
                <a:noFill/>
              </a:ln>
              <a:solidFill>
                <a:schemeClr val="accent1">
                  <a:lumMod val="40000"/>
                  <a:lumOff val="60000"/>
                </a:schemeClr>
              </a:solidFill>
            </a:endParaRPr>
          </a:p>
          <a:p>
            <a:pPr algn="ctr"/>
            <a:endParaRPr lang="en-IN" baseline="0"/>
          </a:p>
          <a:p>
            <a:pPr algn="ctr"/>
            <a:endParaRPr lang="en-IN" baseline="0"/>
          </a:p>
          <a:p>
            <a:pPr algn="ctr"/>
            <a:endParaRPr lang="en-IN" baseline="0">
              <a:solidFill>
                <a:schemeClr val="accent3"/>
              </a:solidFill>
            </a:endParaRPr>
          </a:p>
          <a:p>
            <a:pPr algn="ctr"/>
            <a:endParaRPr lang="en-IN" baseline="0"/>
          </a:p>
          <a:p>
            <a:pPr algn="ctr"/>
            <a:endParaRPr lang="en-IN" baseline="0"/>
          </a:p>
          <a:p>
            <a:pPr algn="ctr"/>
            <a:endParaRPr lang="en-IN"/>
          </a:p>
        </xdr:txBody>
      </xdr:sp>
      <xdr:cxnSp macro="">
        <xdr:nvCxnSpPr>
          <xdr:cNvPr id="13" name="Straight Connector 12">
            <a:extLst>
              <a:ext uri="{FF2B5EF4-FFF2-40B4-BE49-F238E27FC236}">
                <a16:creationId xmlns:a16="http://schemas.microsoft.com/office/drawing/2014/main" id="{F5D30715-6F2D-60D4-E1F2-614CA3EA064C}"/>
              </a:ext>
            </a:extLst>
          </xdr:cNvPr>
          <xdr:cNvCxnSpPr>
            <a:cxnSpLocks/>
          </xdr:cNvCxnSpPr>
        </xdr:nvCxnSpPr>
        <xdr:spPr>
          <a:xfrm flipV="1">
            <a:off x="1963706" y="2666813"/>
            <a:ext cx="3608419" cy="5265"/>
          </a:xfrm>
          <a:prstGeom prst="line">
            <a:avLst/>
          </a:prstGeom>
          <a:ln w="12700">
            <a:no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E2325825-A83A-28DE-9DBB-52300C089CA9}"/>
              </a:ext>
            </a:extLst>
          </xdr:cNvPr>
          <xdr:cNvSpPr/>
        </xdr:nvSpPr>
        <xdr:spPr>
          <a:xfrm>
            <a:off x="5813438" y="5140948"/>
            <a:ext cx="3623878" cy="2731587"/>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sz="1100" b="1" i="0" u="sng">
                <a:solidFill>
                  <a:srgbClr val="00B050"/>
                </a:solidFill>
                <a:latin typeface="Bahnschrift Condensed" panose="020B0502040204020203" pitchFamily="34" charset="0"/>
              </a:rPr>
              <a:t>ATTRITION</a:t>
            </a:r>
            <a:r>
              <a:rPr lang="en-IN" sz="1100" b="1" i="0" u="sng" baseline="0">
                <a:solidFill>
                  <a:srgbClr val="00B050"/>
                </a:solidFill>
                <a:latin typeface="Bahnschrift Condensed" panose="020B0502040204020203" pitchFamily="34" charset="0"/>
              </a:rPr>
              <a:t> BY AGE GROUP</a:t>
            </a:r>
          </a:p>
          <a:p>
            <a:pPr algn="ctr"/>
            <a:endParaRPr lang="en-IN" sz="1800" b="1" i="0" u="sng" baseline="0">
              <a:solidFill>
                <a:srgbClr val="00B050"/>
              </a:solidFill>
              <a:latin typeface="Bahnschrift Light Condensed" panose="020B0502040204020203" pitchFamily="34" charset="0"/>
            </a:endParaRPr>
          </a:p>
          <a:p>
            <a:pPr algn="ctr"/>
            <a:endParaRPr lang="en-IN" baseline="0"/>
          </a:p>
          <a:p>
            <a:pPr algn="ctr"/>
            <a:endParaRPr lang="en-IN" baseline="0"/>
          </a:p>
          <a:p>
            <a:pPr algn="ctr"/>
            <a:endParaRPr lang="en-IN" baseline="0"/>
          </a:p>
          <a:p>
            <a:pPr algn="ctr"/>
            <a:endParaRPr lang="en-IN" baseline="0"/>
          </a:p>
          <a:p>
            <a:pPr algn="ctr"/>
            <a:endParaRPr lang="en-IN" baseline="0"/>
          </a:p>
          <a:p>
            <a:pPr algn="ctr"/>
            <a:endParaRPr lang="en-IN"/>
          </a:p>
        </xdr:txBody>
      </xdr:sp>
      <xdr:cxnSp macro="">
        <xdr:nvCxnSpPr>
          <xdr:cNvPr id="15" name="Straight Connector 14">
            <a:extLst>
              <a:ext uri="{FF2B5EF4-FFF2-40B4-BE49-F238E27FC236}">
                <a16:creationId xmlns:a16="http://schemas.microsoft.com/office/drawing/2014/main" id="{B8341D8A-C1C9-282A-B860-718EA08E8968}"/>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23CDFB8D-93BC-9F6E-6CAA-FB0ACE1A53BB}"/>
              </a:ext>
            </a:extLst>
          </xdr:cNvPr>
          <xdr:cNvSpPr/>
        </xdr:nvSpPr>
        <xdr:spPr>
          <a:xfrm>
            <a:off x="9467145" y="5150239"/>
            <a:ext cx="2844000" cy="2712311"/>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lvl="1" algn="l"/>
            <a:r>
              <a:rPr lang="en-IN" sz="1050" b="1" i="1" u="sng">
                <a:solidFill>
                  <a:srgbClr val="00B050"/>
                </a:solidFill>
              </a:rPr>
              <a:t>ATTRITION BY MARRIGE</a:t>
            </a:r>
            <a:r>
              <a:rPr lang="en-IN" sz="1050" b="1" i="1" u="sng" baseline="0">
                <a:solidFill>
                  <a:srgbClr val="00B050"/>
                </a:solidFill>
              </a:rPr>
              <a:t> </a:t>
            </a:r>
            <a:r>
              <a:rPr lang="en-IN" sz="1050" b="1" i="1" u="sng" cap="small" baseline="0">
                <a:solidFill>
                  <a:srgbClr val="00B050"/>
                </a:solidFill>
              </a:rPr>
              <a:t>STATUS</a:t>
            </a:r>
          </a:p>
          <a:p>
            <a:pPr lvl="1" algn="l"/>
            <a:endParaRPr lang="en-IN" sz="1050" b="1" i="1" u="sng" baseline="0"/>
          </a:p>
          <a:p>
            <a:pPr algn="ctr"/>
            <a:endParaRPr lang="en-IN" baseline="0"/>
          </a:p>
          <a:p>
            <a:pPr algn="ctr"/>
            <a:endParaRPr lang="en-IN" baseline="0"/>
          </a:p>
          <a:p>
            <a:pPr algn="ctr"/>
            <a:endParaRPr lang="en-IN" baseline="0"/>
          </a:p>
          <a:p>
            <a:pPr algn="ctr"/>
            <a:endParaRPr lang="en-IN" baseline="0"/>
          </a:p>
          <a:p>
            <a:pPr algn="ctr"/>
            <a:endParaRPr lang="en-IN" baseline="0"/>
          </a:p>
          <a:p>
            <a:pPr algn="ctr"/>
            <a:endParaRPr lang="en-IN"/>
          </a:p>
        </xdr:txBody>
      </xdr:sp>
      <xdr:cxnSp macro="">
        <xdr:nvCxnSpPr>
          <xdr:cNvPr id="17" name="Straight Connector 16">
            <a:extLst>
              <a:ext uri="{FF2B5EF4-FFF2-40B4-BE49-F238E27FC236}">
                <a16:creationId xmlns:a16="http://schemas.microsoft.com/office/drawing/2014/main" id="{CA4CD5CC-3891-AF4E-7922-48DF9C8707EE}"/>
              </a:ext>
            </a:extLst>
          </xdr:cNvPr>
          <xdr:cNvCxnSpPr>
            <a:cxnSpLocks/>
          </xdr:cNvCxnSpPr>
        </xdr:nvCxnSpPr>
        <xdr:spPr>
          <a:xfrm flipV="1">
            <a:off x="9713550" y="5631781"/>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50207ADB-6AE8-4AC3-7B6F-E9E3C9E583C2}"/>
              </a:ext>
            </a:extLst>
          </xdr:cNvPr>
          <xdr:cNvSpPr/>
        </xdr:nvSpPr>
        <xdr:spPr>
          <a:xfrm>
            <a:off x="12393108" y="5089355"/>
            <a:ext cx="2609213" cy="2878707"/>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CDE34CF3-17A5-FAFA-F0AD-6E1EAE3FB43A}"/>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16</xdr:col>
      <xdr:colOff>304800</xdr:colOff>
      <xdr:row>0</xdr:row>
      <xdr:rowOff>144780</xdr:rowOff>
    </xdr:from>
    <xdr:to>
      <xdr:col>17</xdr:col>
      <xdr:colOff>403860</xdr:colOff>
      <xdr:row>4</xdr:row>
      <xdr:rowOff>76200</xdr:rowOff>
    </xdr:to>
    <xdr:graphicFrame macro="">
      <xdr:nvGraphicFramePr>
        <xdr:cNvPr id="27" name="Chart 26">
          <a:extLst>
            <a:ext uri="{FF2B5EF4-FFF2-40B4-BE49-F238E27FC236}">
              <a16:creationId xmlns:a16="http://schemas.microsoft.com/office/drawing/2014/main" id="{C8B2C175-7642-4690-9813-21B10F8CD7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449580</xdr:colOff>
      <xdr:row>16</xdr:row>
      <xdr:rowOff>152400</xdr:rowOff>
    </xdr:from>
    <xdr:to>
      <xdr:col>2</xdr:col>
      <xdr:colOff>556260</xdr:colOff>
      <xdr:row>21</xdr:row>
      <xdr:rowOff>45720</xdr:rowOff>
    </xdr:to>
    <xdr:graphicFrame macro="">
      <xdr:nvGraphicFramePr>
        <xdr:cNvPr id="28" name="Chart 27">
          <a:extLst>
            <a:ext uri="{FF2B5EF4-FFF2-40B4-BE49-F238E27FC236}">
              <a16:creationId xmlns:a16="http://schemas.microsoft.com/office/drawing/2014/main" id="{504AD196-C643-4E67-918F-C2554F1032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510540</xdr:colOff>
      <xdr:row>16</xdr:row>
      <xdr:rowOff>160020</xdr:rowOff>
    </xdr:from>
    <xdr:to>
      <xdr:col>6</xdr:col>
      <xdr:colOff>335280</xdr:colOff>
      <xdr:row>21</xdr:row>
      <xdr:rowOff>76200</xdr:rowOff>
    </xdr:to>
    <xdr:graphicFrame macro="">
      <xdr:nvGraphicFramePr>
        <xdr:cNvPr id="29" name="Chart 28">
          <a:extLst>
            <a:ext uri="{FF2B5EF4-FFF2-40B4-BE49-F238E27FC236}">
              <a16:creationId xmlns:a16="http://schemas.microsoft.com/office/drawing/2014/main" id="{B3FDB855-460B-47BA-80B2-5F99F136E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xdr:col>
      <xdr:colOff>563880</xdr:colOff>
      <xdr:row>16</xdr:row>
      <xdr:rowOff>152400</xdr:rowOff>
    </xdr:from>
    <xdr:to>
      <xdr:col>3</xdr:col>
      <xdr:colOff>586740</xdr:colOff>
      <xdr:row>21</xdr:row>
      <xdr:rowOff>93345</xdr:rowOff>
    </xdr:to>
    <xdr:pic>
      <xdr:nvPicPr>
        <xdr:cNvPr id="31" name="Graphic 30" descr="Woman with long wavy hair">
          <a:extLst>
            <a:ext uri="{FF2B5EF4-FFF2-40B4-BE49-F238E27FC236}">
              <a16:creationId xmlns:a16="http://schemas.microsoft.com/office/drawing/2014/main" id="{D3B34321-E533-6F7A-CA01-FDD229853323}"/>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905000" y="3322320"/>
          <a:ext cx="693420" cy="931545"/>
        </a:xfrm>
        <a:prstGeom prst="rect">
          <a:avLst/>
        </a:prstGeom>
      </xdr:spPr>
    </xdr:pic>
    <xdr:clientData/>
  </xdr:twoCellAnchor>
  <xdr:twoCellAnchor editAs="oneCell">
    <xdr:from>
      <xdr:col>3</xdr:col>
      <xdr:colOff>594360</xdr:colOff>
      <xdr:row>16</xdr:row>
      <xdr:rowOff>152400</xdr:rowOff>
    </xdr:from>
    <xdr:to>
      <xdr:col>4</xdr:col>
      <xdr:colOff>655320</xdr:colOff>
      <xdr:row>21</xdr:row>
      <xdr:rowOff>129540</xdr:rowOff>
    </xdr:to>
    <xdr:pic>
      <xdr:nvPicPr>
        <xdr:cNvPr id="33" name="Graphic 32" descr="Man wearing a hoodie">
          <a:extLst>
            <a:ext uri="{FF2B5EF4-FFF2-40B4-BE49-F238E27FC236}">
              <a16:creationId xmlns:a16="http://schemas.microsoft.com/office/drawing/2014/main" id="{17312B34-B870-E8DA-191B-449E956FF68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606040" y="3322320"/>
          <a:ext cx="731520" cy="967740"/>
        </a:xfrm>
        <a:prstGeom prst="rect">
          <a:avLst/>
        </a:prstGeom>
      </xdr:spPr>
    </xdr:pic>
    <xdr:clientData/>
  </xdr:twoCellAnchor>
  <xdr:twoCellAnchor editAs="oneCell">
    <xdr:from>
      <xdr:col>2</xdr:col>
      <xdr:colOff>381000</xdr:colOff>
      <xdr:row>11</xdr:row>
      <xdr:rowOff>144780</xdr:rowOff>
    </xdr:from>
    <xdr:to>
      <xdr:col>5</xdr:col>
      <xdr:colOff>281940</xdr:colOff>
      <xdr:row>16</xdr:row>
      <xdr:rowOff>90180</xdr:rowOff>
    </xdr:to>
    <mc:AlternateContent xmlns:mc="http://schemas.openxmlformats.org/markup-compatibility/2006" xmlns:a14="http://schemas.microsoft.com/office/drawing/2010/main">
      <mc:Choice Requires="a14">
        <xdr:graphicFrame macro="">
          <xdr:nvGraphicFramePr>
            <xdr:cNvPr id="32" name="Gender 4">
              <a:extLst>
                <a:ext uri="{FF2B5EF4-FFF2-40B4-BE49-F238E27FC236}">
                  <a16:creationId xmlns:a16="http://schemas.microsoft.com/office/drawing/2014/main" id="{EC65A723-2C6C-43FB-98C2-402CCF4F2000}"/>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1744980" y="2324100"/>
              <a:ext cx="191262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403860</xdr:colOff>
      <xdr:row>12</xdr:row>
      <xdr:rowOff>83820</xdr:rowOff>
    </xdr:from>
    <xdr:to>
      <xdr:col>12</xdr:col>
      <xdr:colOff>312419</xdr:colOff>
      <xdr:row>21</xdr:row>
      <xdr:rowOff>76200</xdr:rowOff>
    </xdr:to>
    <xdr:graphicFrame macro="">
      <xdr:nvGraphicFramePr>
        <xdr:cNvPr id="34" name="Chart 33">
          <a:extLst>
            <a:ext uri="{FF2B5EF4-FFF2-40B4-BE49-F238E27FC236}">
              <a16:creationId xmlns:a16="http://schemas.microsoft.com/office/drawing/2014/main" id="{0DD72979-871A-4B98-98D3-F2E53987B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152400</xdr:colOff>
      <xdr:row>0</xdr:row>
      <xdr:rowOff>129540</xdr:rowOff>
    </xdr:from>
    <xdr:to>
      <xdr:col>13</xdr:col>
      <xdr:colOff>228600</xdr:colOff>
      <xdr:row>3</xdr:row>
      <xdr:rowOff>83820</xdr:rowOff>
    </xdr:to>
    <xdr:pic>
      <xdr:nvPicPr>
        <xdr:cNvPr id="35" name="Graphic 34" descr="Thumbs up sign with solid fill">
          <a:extLst>
            <a:ext uri="{FF2B5EF4-FFF2-40B4-BE49-F238E27FC236}">
              <a16:creationId xmlns:a16="http://schemas.microsoft.com/office/drawing/2014/main" id="{9ECB1647-0A42-552A-3028-1F548D3581DA}"/>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221980" y="129540"/>
          <a:ext cx="746760" cy="548640"/>
        </a:xfrm>
        <a:prstGeom prst="rect">
          <a:avLst/>
        </a:prstGeom>
      </xdr:spPr>
    </xdr:pic>
    <xdr:clientData/>
  </xdr:twoCellAnchor>
  <xdr:twoCellAnchor>
    <xdr:from>
      <xdr:col>12</xdr:col>
      <xdr:colOff>396240</xdr:colOff>
      <xdr:row>11</xdr:row>
      <xdr:rowOff>137160</xdr:rowOff>
    </xdr:from>
    <xdr:to>
      <xdr:col>17</xdr:col>
      <xdr:colOff>601980</xdr:colOff>
      <xdr:row>20</xdr:row>
      <xdr:rowOff>175260</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BDC2A8E4-5D5B-42CB-81D4-D3FA67417BB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8465820" y="2316480"/>
              <a:ext cx="3558540" cy="18211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396240</xdr:colOff>
      <xdr:row>23</xdr:row>
      <xdr:rowOff>144780</xdr:rowOff>
    </xdr:from>
    <xdr:to>
      <xdr:col>6</xdr:col>
      <xdr:colOff>190500</xdr:colOff>
      <xdr:row>33</xdr:row>
      <xdr:rowOff>121920</xdr:rowOff>
    </xdr:to>
    <xdr:graphicFrame macro="">
      <xdr:nvGraphicFramePr>
        <xdr:cNvPr id="38" name="Chart 37">
          <a:extLst>
            <a:ext uri="{FF2B5EF4-FFF2-40B4-BE49-F238E27FC236}">
              <a16:creationId xmlns:a16="http://schemas.microsoft.com/office/drawing/2014/main" id="{81FDF98E-D42B-4359-912B-10F2B3F73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297180</xdr:colOff>
      <xdr:row>23</xdr:row>
      <xdr:rowOff>175260</xdr:rowOff>
    </xdr:from>
    <xdr:to>
      <xdr:col>10</xdr:col>
      <xdr:colOff>647700</xdr:colOff>
      <xdr:row>34</xdr:row>
      <xdr:rowOff>7620</xdr:rowOff>
    </xdr:to>
    <xdr:graphicFrame macro="">
      <xdr:nvGraphicFramePr>
        <xdr:cNvPr id="40" name="Chart 39">
          <a:extLst>
            <a:ext uri="{FF2B5EF4-FFF2-40B4-BE49-F238E27FC236}">
              <a16:creationId xmlns:a16="http://schemas.microsoft.com/office/drawing/2014/main" id="{E28394DB-B32F-421F-84BA-EE808F753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45721</xdr:colOff>
      <xdr:row>23</xdr:row>
      <xdr:rowOff>38100</xdr:rowOff>
    </xdr:from>
    <xdr:to>
      <xdr:col>14</xdr:col>
      <xdr:colOff>381000</xdr:colOff>
      <xdr:row>32</xdr:row>
      <xdr:rowOff>144780</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476D0BC6-DDB6-4D38-8446-85627513CA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444741" y="4594860"/>
              <a:ext cx="2346959" cy="18897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373380</xdr:colOff>
      <xdr:row>27</xdr:row>
      <xdr:rowOff>144780</xdr:rowOff>
    </xdr:from>
    <xdr:to>
      <xdr:col>17</xdr:col>
      <xdr:colOff>541020</xdr:colOff>
      <xdr:row>32</xdr:row>
      <xdr:rowOff>167640</xdr:rowOff>
    </xdr:to>
    <mc:AlternateContent xmlns:mc="http://schemas.openxmlformats.org/markup-compatibility/2006" xmlns:a14="http://schemas.microsoft.com/office/drawing/2010/main">
      <mc:Choice Requires="a14">
        <xdr:graphicFrame macro="">
          <xdr:nvGraphicFramePr>
            <xdr:cNvPr id="42" name="Education Field 4">
              <a:extLst>
                <a:ext uri="{FF2B5EF4-FFF2-40B4-BE49-F238E27FC236}">
                  <a16:creationId xmlns:a16="http://schemas.microsoft.com/office/drawing/2014/main" id="{05FEF85B-8CC9-455F-8950-98AA41868BB1}"/>
                </a:ext>
              </a:extLst>
            </xdr:cNvPr>
            <xdr:cNvGraphicFramePr/>
          </xdr:nvGraphicFramePr>
          <xdr:xfrm>
            <a:off x="0" y="0"/>
            <a:ext cx="0" cy="0"/>
          </xdr:xfrm>
          <a:graphic>
            <a:graphicData uri="http://schemas.microsoft.com/office/drawing/2010/slicer">
              <sle:slicer xmlns:sle="http://schemas.microsoft.com/office/drawing/2010/slicer" name="Education Field 4"/>
            </a:graphicData>
          </a:graphic>
        </xdr:graphicFrame>
      </mc:Choice>
      <mc:Fallback xmlns="">
        <xdr:sp macro="" textlink="">
          <xdr:nvSpPr>
            <xdr:cNvPr id="0" name=""/>
            <xdr:cNvSpPr>
              <a:spLocks noTextEdit="1"/>
            </xdr:cNvSpPr>
          </xdr:nvSpPr>
          <xdr:spPr>
            <a:xfrm>
              <a:off x="9784080" y="5494020"/>
              <a:ext cx="2179320" cy="1013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396240</xdr:colOff>
      <xdr:row>21</xdr:row>
      <xdr:rowOff>91440</xdr:rowOff>
    </xdr:from>
    <xdr:to>
      <xdr:col>17</xdr:col>
      <xdr:colOff>525780</xdr:colOff>
      <xdr:row>27</xdr:row>
      <xdr:rowOff>137160</xdr:rowOff>
    </xdr:to>
    <mc:AlternateContent xmlns:mc="http://schemas.openxmlformats.org/markup-compatibility/2006" xmlns:a14="http://schemas.microsoft.com/office/drawing/2010/main">
      <mc:Choice Requires="a14">
        <xdr:graphicFrame macro="">
          <xdr:nvGraphicFramePr>
            <xdr:cNvPr id="43" name="Department 2">
              <a:extLst>
                <a:ext uri="{FF2B5EF4-FFF2-40B4-BE49-F238E27FC236}">
                  <a16:creationId xmlns:a16="http://schemas.microsoft.com/office/drawing/2014/main" id="{D089C397-E64D-47B6-91DC-6194840A1801}"/>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9806940" y="4251960"/>
              <a:ext cx="214122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3</xdr:row>
      <xdr:rowOff>22860</xdr:rowOff>
    </xdr:from>
    <xdr:to>
      <xdr:col>12</xdr:col>
      <xdr:colOff>419100</xdr:colOff>
      <xdr:row>4</xdr:row>
      <xdr:rowOff>129540</xdr:rowOff>
    </xdr:to>
    <xdr:pic>
      <xdr:nvPicPr>
        <xdr:cNvPr id="44" name="Graphic 43" descr="Star with solid fill">
          <a:extLst>
            <a:ext uri="{FF2B5EF4-FFF2-40B4-BE49-F238E27FC236}">
              <a16:creationId xmlns:a16="http://schemas.microsoft.com/office/drawing/2014/main" id="{31B00F5A-76E1-BDEE-BE44-A53387B60D4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8069580" y="617220"/>
          <a:ext cx="419100" cy="304800"/>
        </a:xfrm>
        <a:prstGeom prst="rect">
          <a:avLst/>
        </a:prstGeom>
      </xdr:spPr>
    </xdr:pic>
    <xdr:clientData/>
  </xdr:twoCellAnchor>
  <xdr:twoCellAnchor editAs="oneCell">
    <xdr:from>
      <xdr:col>12</xdr:col>
      <xdr:colOff>297180</xdr:colOff>
      <xdr:row>3</xdr:row>
      <xdr:rowOff>22860</xdr:rowOff>
    </xdr:from>
    <xdr:to>
      <xdr:col>13</xdr:col>
      <xdr:colOff>129540</xdr:colOff>
      <xdr:row>4</xdr:row>
      <xdr:rowOff>114300</xdr:rowOff>
    </xdr:to>
    <xdr:pic>
      <xdr:nvPicPr>
        <xdr:cNvPr id="46" name="Graphic 45" descr="Star with solid fill">
          <a:extLst>
            <a:ext uri="{FF2B5EF4-FFF2-40B4-BE49-F238E27FC236}">
              <a16:creationId xmlns:a16="http://schemas.microsoft.com/office/drawing/2014/main" id="{C1F4A74F-8B5A-A31B-1908-5182698137A8}"/>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8366760" y="617220"/>
          <a:ext cx="502920" cy="289560"/>
        </a:xfrm>
        <a:prstGeom prst="rect">
          <a:avLst/>
        </a:prstGeom>
      </xdr:spPr>
    </xdr:pic>
    <xdr:clientData/>
  </xdr:twoCellAnchor>
  <xdr:twoCellAnchor editAs="oneCell">
    <xdr:from>
      <xdr:col>13</xdr:col>
      <xdr:colOff>22860</xdr:colOff>
      <xdr:row>3</xdr:row>
      <xdr:rowOff>22860</xdr:rowOff>
    </xdr:from>
    <xdr:to>
      <xdr:col>13</xdr:col>
      <xdr:colOff>396240</xdr:colOff>
      <xdr:row>4</xdr:row>
      <xdr:rowOff>144780</xdr:rowOff>
    </xdr:to>
    <xdr:pic>
      <xdr:nvPicPr>
        <xdr:cNvPr id="48" name="Graphic 47" descr="Star with solid fill">
          <a:extLst>
            <a:ext uri="{FF2B5EF4-FFF2-40B4-BE49-F238E27FC236}">
              <a16:creationId xmlns:a16="http://schemas.microsoft.com/office/drawing/2014/main" id="{8943D074-40B0-CD56-87B7-900A0261D5BE}"/>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8763000" y="617220"/>
          <a:ext cx="373380" cy="3200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10</xdr:col>
      <xdr:colOff>12700</xdr:colOff>
      <xdr:row>9</xdr:row>
      <xdr:rowOff>0</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3A9A2C6A-EDF4-40DB-5C7C-47AB15D3B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82000" y="812800"/>
              <a:ext cx="24892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4</xdr:row>
      <xdr:rowOff>0</xdr:rowOff>
    </xdr:from>
    <xdr:to>
      <xdr:col>11</xdr:col>
      <xdr:colOff>0</xdr:colOff>
      <xdr:row>18</xdr:row>
      <xdr:rowOff>0</xdr:rowOff>
    </xdr:to>
    <xdr:graphicFrame macro="">
      <xdr:nvGraphicFramePr>
        <xdr:cNvPr id="4" name="Chart 3">
          <a:extLst>
            <a:ext uri="{FF2B5EF4-FFF2-40B4-BE49-F238E27FC236}">
              <a16:creationId xmlns:a16="http://schemas.microsoft.com/office/drawing/2014/main" id="{60CFDE18-8487-E601-9A43-0A6F02FCE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812800</xdr:colOff>
      <xdr:row>4</xdr:row>
      <xdr:rowOff>0</xdr:rowOff>
    </xdr:from>
    <xdr:to>
      <xdr:col>14</xdr:col>
      <xdr:colOff>165100</xdr:colOff>
      <xdr:row>9</xdr:row>
      <xdr:rowOff>0</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20CE520C-5607-B959-EB1E-A612645AB35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0883900" y="812800"/>
              <a:ext cx="1828800" cy="1016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11</xdr:row>
      <xdr:rowOff>0</xdr:rowOff>
    </xdr:from>
    <xdr:to>
      <xdr:col>14</xdr:col>
      <xdr:colOff>177800</xdr:colOff>
      <xdr:row>23</xdr:row>
      <xdr:rowOff>180972</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1D1D92A2-E8ED-76C1-C425-9FE8F2C7320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10896600" y="22352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32</xdr:col>
      <xdr:colOff>25400</xdr:colOff>
      <xdr:row>4</xdr:row>
      <xdr:rowOff>38100</xdr:rowOff>
    </xdr:from>
    <xdr:to>
      <xdr:col>39</xdr:col>
      <xdr:colOff>165100</xdr:colOff>
      <xdr:row>9</xdr:row>
      <xdr:rowOff>63500</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9A9A5699-DF85-289F-C1B1-1231535D770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0477500" y="850900"/>
              <a:ext cx="1828800" cy="1041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25400</xdr:colOff>
      <xdr:row>10</xdr:row>
      <xdr:rowOff>12700</xdr:rowOff>
    </xdr:from>
    <xdr:to>
      <xdr:col>39</xdr:col>
      <xdr:colOff>165100</xdr:colOff>
      <xdr:row>22</xdr:row>
      <xdr:rowOff>193672</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4477A0E-5190-9358-E0EC-6F7B6CFB6A7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477500" y="20447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107950</xdr:colOff>
      <xdr:row>15</xdr:row>
      <xdr:rowOff>0</xdr:rowOff>
    </xdr:from>
    <xdr:to>
      <xdr:col>8</xdr:col>
      <xdr:colOff>19050</xdr:colOff>
      <xdr:row>28</xdr:row>
      <xdr:rowOff>101600</xdr:rowOff>
    </xdr:to>
    <xdr:graphicFrame macro="">
      <xdr:nvGraphicFramePr>
        <xdr:cNvPr id="6" name="Chart 5">
          <a:extLst>
            <a:ext uri="{FF2B5EF4-FFF2-40B4-BE49-F238E27FC236}">
              <a16:creationId xmlns:a16="http://schemas.microsoft.com/office/drawing/2014/main" id="{DBD37AE0-E26D-1789-421A-31F540E5FC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137160</xdr:colOff>
      <xdr:row>15</xdr:row>
      <xdr:rowOff>0</xdr:rowOff>
    </xdr:from>
    <xdr:to>
      <xdr:col>27</xdr:col>
      <xdr:colOff>234950</xdr:colOff>
      <xdr:row>28</xdr:row>
      <xdr:rowOff>101600</xdr:rowOff>
    </xdr:to>
    <xdr:graphicFrame macro="">
      <xdr:nvGraphicFramePr>
        <xdr:cNvPr id="7" name="Chart 6">
          <a:extLst>
            <a:ext uri="{FF2B5EF4-FFF2-40B4-BE49-F238E27FC236}">
              <a16:creationId xmlns:a16="http://schemas.microsoft.com/office/drawing/2014/main" id="{D74266DD-E784-FEB8-C64D-5669B8703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127000</xdr:colOff>
      <xdr:row>14</xdr:row>
      <xdr:rowOff>12700</xdr:rowOff>
    </xdr:from>
    <xdr:to>
      <xdr:col>11</xdr:col>
      <xdr:colOff>647700</xdr:colOff>
      <xdr:row>33</xdr:row>
      <xdr:rowOff>76200</xdr:rowOff>
    </xdr:to>
    <xdr:graphicFrame macro="">
      <xdr:nvGraphicFramePr>
        <xdr:cNvPr id="3" name="Chart 2">
          <a:extLst>
            <a:ext uri="{FF2B5EF4-FFF2-40B4-BE49-F238E27FC236}">
              <a16:creationId xmlns:a16="http://schemas.microsoft.com/office/drawing/2014/main" id="{E5D87507-1169-3509-F403-A8187F8996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13</xdr:row>
      <xdr:rowOff>152400</xdr:rowOff>
    </xdr:from>
    <xdr:to>
      <xdr:col>1</xdr:col>
      <xdr:colOff>1013460</xdr:colOff>
      <xdr:row>26</xdr:row>
      <xdr:rowOff>130172</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1131376B-EFE3-7C93-743C-E8CC1F384DD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06400" y="27940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812800</xdr:colOff>
      <xdr:row>14</xdr:row>
      <xdr:rowOff>12700</xdr:rowOff>
    </xdr:from>
    <xdr:to>
      <xdr:col>11</xdr:col>
      <xdr:colOff>736600</xdr:colOff>
      <xdr:row>33</xdr:row>
      <xdr:rowOff>152400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2DB2F07-DDE0-F43A-6171-0C844D178C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88260" y="2786380"/>
              <a:ext cx="10370820" cy="3903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4</xdr:col>
      <xdr:colOff>431800</xdr:colOff>
      <xdr:row>14</xdr:row>
      <xdr:rowOff>12700</xdr:rowOff>
    </xdr:from>
    <xdr:to>
      <xdr:col>10</xdr:col>
      <xdr:colOff>50800</xdr:colOff>
      <xdr:row>27</xdr:row>
      <xdr:rowOff>114300</xdr:rowOff>
    </xdr:to>
    <xdr:graphicFrame macro="">
      <xdr:nvGraphicFramePr>
        <xdr:cNvPr id="3" name="Chart 2">
          <a:extLst>
            <a:ext uri="{FF2B5EF4-FFF2-40B4-BE49-F238E27FC236}">
              <a16:creationId xmlns:a16="http://schemas.microsoft.com/office/drawing/2014/main" id="{F2A85DDE-26D8-0B60-7AE5-FFB16916F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635000</xdr:colOff>
      <xdr:row>14</xdr:row>
      <xdr:rowOff>12700</xdr:rowOff>
    </xdr:from>
    <xdr:to>
      <xdr:col>9</xdr:col>
      <xdr:colOff>254000</xdr:colOff>
      <xdr:row>27</xdr:row>
      <xdr:rowOff>114300</xdr:rowOff>
    </xdr:to>
    <xdr:graphicFrame macro="">
      <xdr:nvGraphicFramePr>
        <xdr:cNvPr id="4" name="Chart 3">
          <a:extLst>
            <a:ext uri="{FF2B5EF4-FFF2-40B4-BE49-F238E27FC236}">
              <a16:creationId xmlns:a16="http://schemas.microsoft.com/office/drawing/2014/main" id="{3DCA0039-625E-8F61-FC97-76BC4294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476250</xdr:colOff>
      <xdr:row>14</xdr:row>
      <xdr:rowOff>12700</xdr:rowOff>
    </xdr:from>
    <xdr:to>
      <xdr:col>12</xdr:col>
      <xdr:colOff>95250</xdr:colOff>
      <xdr:row>27</xdr:row>
      <xdr:rowOff>114300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D9E0AE-F194-E8FC-24D5-55B5DFAF0B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00850" y="2786380"/>
              <a:ext cx="4739640" cy="2677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774700</xdr:colOff>
      <xdr:row>11</xdr:row>
      <xdr:rowOff>114300</xdr:rowOff>
    </xdr:from>
    <xdr:to>
      <xdr:col>2</xdr:col>
      <xdr:colOff>751840</xdr:colOff>
      <xdr:row>24</xdr:row>
      <xdr:rowOff>92072</xdr:rowOff>
    </xdr:to>
    <mc:AlternateContent xmlns:mc="http://schemas.openxmlformats.org/markup-compatibility/2006" xmlns:a14="http://schemas.microsoft.com/office/drawing/2010/main">
      <mc:Choice Requires="a14">
        <xdr:graphicFrame macro="">
          <xdr:nvGraphicFramePr>
            <xdr:cNvPr id="4" name="Marital Status">
              <a:extLst>
                <a:ext uri="{FF2B5EF4-FFF2-40B4-BE49-F238E27FC236}">
                  <a16:creationId xmlns:a16="http://schemas.microsoft.com/office/drawing/2014/main" id="{8E0CDA3F-21BA-676B-E1C7-F2A46E9BE78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765300" y="2349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241300</xdr:colOff>
      <xdr:row>22</xdr:row>
      <xdr:rowOff>165100</xdr:rowOff>
    </xdr:from>
    <xdr:to>
      <xdr:col>5</xdr:col>
      <xdr:colOff>266700</xdr:colOff>
      <xdr:row>35</xdr:row>
      <xdr:rowOff>142872</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88DF47A2-C40B-C997-DF61-278D0AA5C89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848100" y="46355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25</xdr:row>
      <xdr:rowOff>38100</xdr:rowOff>
    </xdr:from>
    <xdr:to>
      <xdr:col>5</xdr:col>
      <xdr:colOff>749300</xdr:colOff>
      <xdr:row>38</xdr:row>
      <xdr:rowOff>15872</xdr:rowOff>
    </xdr:to>
    <mc:AlternateContent xmlns:mc="http://schemas.openxmlformats.org/markup-compatibility/2006" xmlns:a14="http://schemas.microsoft.com/office/drawing/2010/main">
      <mc:Choice Requires="a14">
        <xdr:graphicFrame macro="">
          <xdr:nvGraphicFramePr>
            <xdr:cNvPr id="6" name="Education Field 2">
              <a:extLst>
                <a:ext uri="{FF2B5EF4-FFF2-40B4-BE49-F238E27FC236}">
                  <a16:creationId xmlns:a16="http://schemas.microsoft.com/office/drawing/2014/main" id="{43AA4712-6795-69B1-51DB-08C2F0BE5039}"/>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4330700" y="51181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495300</xdr:colOff>
      <xdr:row>0</xdr:row>
      <xdr:rowOff>152400</xdr:rowOff>
    </xdr:from>
    <xdr:to>
      <xdr:col>21</xdr:col>
      <xdr:colOff>279400</xdr:colOff>
      <xdr:row>40</xdr:row>
      <xdr:rowOff>196641</xdr:rowOff>
    </xdr:to>
    <xdr:grpSp>
      <xdr:nvGrpSpPr>
        <xdr:cNvPr id="27" name="Group 26">
          <a:extLst>
            <a:ext uri="{FF2B5EF4-FFF2-40B4-BE49-F238E27FC236}">
              <a16:creationId xmlns:a16="http://schemas.microsoft.com/office/drawing/2014/main" id="{97F8182C-464A-054F-AA8A-915ACBF79342}"/>
            </a:ext>
          </a:extLst>
        </xdr:cNvPr>
        <xdr:cNvGrpSpPr/>
      </xdr:nvGrpSpPr>
      <xdr:grpSpPr>
        <a:xfrm>
          <a:off x="495300" y="152400"/>
          <a:ext cx="17706340" cy="7969041"/>
          <a:chOff x="1752600" y="190500"/>
          <a:chExt cx="13468350" cy="7776000"/>
        </a:xfrm>
      </xdr:grpSpPr>
      <xdr:sp macro="" textlink="">
        <xdr:nvSpPr>
          <xdr:cNvPr id="28" name="Rectangle: Rounded Corners 2">
            <a:extLst>
              <a:ext uri="{FF2B5EF4-FFF2-40B4-BE49-F238E27FC236}">
                <a16:creationId xmlns:a16="http://schemas.microsoft.com/office/drawing/2014/main" id="{BE4260C2-6D88-6231-59C3-8874A43D3550}"/>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29" name="Rectangle: Rounded Corners 3">
            <a:extLst>
              <a:ext uri="{FF2B5EF4-FFF2-40B4-BE49-F238E27FC236}">
                <a16:creationId xmlns:a16="http://schemas.microsoft.com/office/drawing/2014/main" id="{CB790882-70A8-C63B-5A71-5521AA81E7BC}"/>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30" name="Rectangle: Rounded Corners 4">
            <a:extLst>
              <a:ext uri="{FF2B5EF4-FFF2-40B4-BE49-F238E27FC236}">
                <a16:creationId xmlns:a16="http://schemas.microsoft.com/office/drawing/2014/main" id="{F47F58A9-D115-F31D-17F7-701B1046662B}"/>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31" name="Rectangle: Rounded Corners 5">
            <a:extLst>
              <a:ext uri="{FF2B5EF4-FFF2-40B4-BE49-F238E27FC236}">
                <a16:creationId xmlns:a16="http://schemas.microsoft.com/office/drawing/2014/main" id="{01A44874-D79D-3F11-0991-FAD004A603E6}"/>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32" name="Group 31">
            <a:extLst>
              <a:ext uri="{FF2B5EF4-FFF2-40B4-BE49-F238E27FC236}">
                <a16:creationId xmlns:a16="http://schemas.microsoft.com/office/drawing/2014/main" id="{84FB7DD8-A17A-12CA-569F-B34C004AB397}"/>
              </a:ext>
            </a:extLst>
          </xdr:cNvPr>
          <xdr:cNvGrpSpPr/>
        </xdr:nvGrpSpPr>
        <xdr:grpSpPr>
          <a:xfrm>
            <a:off x="1846116" y="1215714"/>
            <a:ext cx="13289109" cy="998848"/>
            <a:chOff x="1846116" y="1215714"/>
            <a:chExt cx="13403409" cy="998848"/>
          </a:xfrm>
        </xdr:grpSpPr>
        <xdr:sp macro="" textlink="">
          <xdr:nvSpPr>
            <xdr:cNvPr id="47" name="Rectangle: Rounded Corners 21">
              <a:extLst>
                <a:ext uri="{FF2B5EF4-FFF2-40B4-BE49-F238E27FC236}">
                  <a16:creationId xmlns:a16="http://schemas.microsoft.com/office/drawing/2014/main" id="{A64F1325-907F-7E8E-E7E6-01CE8D857E82}"/>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8" name="Rectangle: Rounded Corners 22">
              <a:extLst>
                <a:ext uri="{FF2B5EF4-FFF2-40B4-BE49-F238E27FC236}">
                  <a16:creationId xmlns:a16="http://schemas.microsoft.com/office/drawing/2014/main" id="{09F1546F-E489-E521-AEF8-6A9B9A385215}"/>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49" name="Rectangle: Rounded Corners 23">
              <a:extLst>
                <a:ext uri="{FF2B5EF4-FFF2-40B4-BE49-F238E27FC236}">
                  <a16:creationId xmlns:a16="http://schemas.microsoft.com/office/drawing/2014/main" id="{DD04B7FE-3D25-C855-06B9-61B659F8A8BD}"/>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0" name="Rectangle: Rounded Corners 24">
              <a:extLst>
                <a:ext uri="{FF2B5EF4-FFF2-40B4-BE49-F238E27FC236}">
                  <a16:creationId xmlns:a16="http://schemas.microsoft.com/office/drawing/2014/main" id="{0AB3B086-FF52-183E-4B5E-56725F8E4E31}"/>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51" name="Rectangle: Rounded Corners 25">
              <a:extLst>
                <a:ext uri="{FF2B5EF4-FFF2-40B4-BE49-F238E27FC236}">
                  <a16:creationId xmlns:a16="http://schemas.microsoft.com/office/drawing/2014/main" id="{B519F743-14E5-B330-08E1-25EC727CD7F1}"/>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33" name="Group 32">
            <a:extLst>
              <a:ext uri="{FF2B5EF4-FFF2-40B4-BE49-F238E27FC236}">
                <a16:creationId xmlns:a16="http://schemas.microsoft.com/office/drawing/2014/main" id="{A93C960D-7693-C4E2-68E0-1364FC5BA9CD}"/>
              </a:ext>
            </a:extLst>
          </xdr:cNvPr>
          <xdr:cNvGrpSpPr/>
        </xdr:nvGrpSpPr>
        <xdr:grpSpPr>
          <a:xfrm>
            <a:off x="1847145" y="5162550"/>
            <a:ext cx="3867930" cy="2709509"/>
            <a:chOff x="1847145" y="2304895"/>
            <a:chExt cx="3867930" cy="2772878"/>
          </a:xfrm>
        </xdr:grpSpPr>
        <xdr:sp macro="" textlink="">
          <xdr:nvSpPr>
            <xdr:cNvPr id="45" name="Rectangle: Rounded Corners 19">
              <a:extLst>
                <a:ext uri="{FF2B5EF4-FFF2-40B4-BE49-F238E27FC236}">
                  <a16:creationId xmlns:a16="http://schemas.microsoft.com/office/drawing/2014/main" id="{8E3F6CB9-C804-4785-F991-29D42B3EE724}"/>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6" name="Straight Connector 45">
              <a:extLst>
                <a:ext uri="{FF2B5EF4-FFF2-40B4-BE49-F238E27FC236}">
                  <a16:creationId xmlns:a16="http://schemas.microsoft.com/office/drawing/2014/main" id="{A4E62C50-DC5B-6F2B-409F-8925EC577C2D}"/>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34" name="Straight Connector 33">
            <a:extLst>
              <a:ext uri="{FF2B5EF4-FFF2-40B4-BE49-F238E27FC236}">
                <a16:creationId xmlns:a16="http://schemas.microsoft.com/office/drawing/2014/main" id="{AD290DBF-EDEE-2593-99F9-E0D64052F615}"/>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5" name="Rectangle: Rounded Corners 9">
            <a:extLst>
              <a:ext uri="{FF2B5EF4-FFF2-40B4-BE49-F238E27FC236}">
                <a16:creationId xmlns:a16="http://schemas.microsoft.com/office/drawing/2014/main" id="{0137F366-7E7D-7A63-8C3A-8084940584B6}"/>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6" name="Straight Connector 35">
            <a:extLst>
              <a:ext uri="{FF2B5EF4-FFF2-40B4-BE49-F238E27FC236}">
                <a16:creationId xmlns:a16="http://schemas.microsoft.com/office/drawing/2014/main" id="{C55935FD-4AF0-E28B-D053-F8240F82F2C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7" name="Rectangle: Rounded Corners 11">
            <a:extLst>
              <a:ext uri="{FF2B5EF4-FFF2-40B4-BE49-F238E27FC236}">
                <a16:creationId xmlns:a16="http://schemas.microsoft.com/office/drawing/2014/main" id="{D6CA341B-2585-43BA-9BAF-3D3E7DE1EF2A}"/>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38" name="Straight Connector 37">
            <a:extLst>
              <a:ext uri="{FF2B5EF4-FFF2-40B4-BE49-F238E27FC236}">
                <a16:creationId xmlns:a16="http://schemas.microsoft.com/office/drawing/2014/main" id="{437F1EBF-E3BC-262E-BEBA-8D6B0871022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39" name="Rectangle: Rounded Corners 13">
            <a:extLst>
              <a:ext uri="{FF2B5EF4-FFF2-40B4-BE49-F238E27FC236}">
                <a16:creationId xmlns:a16="http://schemas.microsoft.com/office/drawing/2014/main" id="{37B18D15-F764-F7A8-BE02-71C98D63BA54}"/>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0" name="Straight Connector 39">
            <a:extLst>
              <a:ext uri="{FF2B5EF4-FFF2-40B4-BE49-F238E27FC236}">
                <a16:creationId xmlns:a16="http://schemas.microsoft.com/office/drawing/2014/main" id="{D0EAE0A9-1F66-5974-FD4C-79F4F78949E2}"/>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1" name="Rectangle: Rounded Corners 15">
            <a:extLst>
              <a:ext uri="{FF2B5EF4-FFF2-40B4-BE49-F238E27FC236}">
                <a16:creationId xmlns:a16="http://schemas.microsoft.com/office/drawing/2014/main" id="{392AE5B9-9160-C2AB-49B8-173EB82E71AB}"/>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2" name="Straight Connector 41">
            <a:extLst>
              <a:ext uri="{FF2B5EF4-FFF2-40B4-BE49-F238E27FC236}">
                <a16:creationId xmlns:a16="http://schemas.microsoft.com/office/drawing/2014/main" id="{773F5451-6B22-F1BF-4FC5-0B1F559F810E}"/>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43" name="Rectangle: Rounded Corners 17">
            <a:extLst>
              <a:ext uri="{FF2B5EF4-FFF2-40B4-BE49-F238E27FC236}">
                <a16:creationId xmlns:a16="http://schemas.microsoft.com/office/drawing/2014/main" id="{611AABEB-2BDA-F564-FCCB-141648D2B7B6}"/>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44" name="Straight Connector 43">
            <a:extLst>
              <a:ext uri="{FF2B5EF4-FFF2-40B4-BE49-F238E27FC236}">
                <a16:creationId xmlns:a16="http://schemas.microsoft.com/office/drawing/2014/main" id="{48A75024-E570-6BBF-E549-C74E688F4C9F}"/>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622300</xdr:colOff>
      <xdr:row>6</xdr:row>
      <xdr:rowOff>25400</xdr:rowOff>
    </xdr:from>
    <xdr:to>
      <xdr:col>4</xdr:col>
      <xdr:colOff>584200</xdr:colOff>
      <xdr:row>8</xdr:row>
      <xdr:rowOff>0</xdr:rowOff>
    </xdr:to>
    <xdr:sp macro="" textlink="">
      <xdr:nvSpPr>
        <xdr:cNvPr id="52" name="TextBox 51">
          <a:extLst>
            <a:ext uri="{FF2B5EF4-FFF2-40B4-BE49-F238E27FC236}">
              <a16:creationId xmlns:a16="http://schemas.microsoft.com/office/drawing/2014/main" id="{A1F24C1C-53F4-F840-E989-B095DD610EA0}"/>
            </a:ext>
          </a:extLst>
        </xdr:cNvPr>
        <xdr:cNvSpPr txBox="1"/>
      </xdr:nvSpPr>
      <xdr:spPr>
        <a:xfrm>
          <a:off x="622300" y="12446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TOTAL EMPLOYEES</a:t>
          </a:r>
        </a:p>
      </xdr:txBody>
    </xdr:sp>
    <xdr:clientData/>
  </xdr:twoCellAnchor>
  <xdr:twoCellAnchor>
    <xdr:from>
      <xdr:col>0</xdr:col>
      <xdr:colOff>622300</xdr:colOff>
      <xdr:row>8</xdr:row>
      <xdr:rowOff>0</xdr:rowOff>
    </xdr:from>
    <xdr:to>
      <xdr:col>4</xdr:col>
      <xdr:colOff>584200</xdr:colOff>
      <xdr:row>11</xdr:row>
      <xdr:rowOff>50800</xdr:rowOff>
    </xdr:to>
    <xdr:sp macro="" textlink="KPI!A7">
      <xdr:nvSpPr>
        <xdr:cNvPr id="53" name="TextBox 52">
          <a:extLst>
            <a:ext uri="{FF2B5EF4-FFF2-40B4-BE49-F238E27FC236}">
              <a16:creationId xmlns:a16="http://schemas.microsoft.com/office/drawing/2014/main" id="{40447C8A-321E-27A1-1E1A-D9E0E692421A}"/>
            </a:ext>
          </a:extLst>
        </xdr:cNvPr>
        <xdr:cNvSpPr txBox="1"/>
      </xdr:nvSpPr>
      <xdr:spPr>
        <a:xfrm>
          <a:off x="622300" y="16256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B14F1B-FEC9-AB4B-842E-8019A46FAA36}" type="TxLink">
            <a:rPr lang="en-US" sz="4000" b="0" i="0" u="none" strike="noStrike">
              <a:solidFill>
                <a:schemeClr val="accent5">
                  <a:lumMod val="75000"/>
                </a:schemeClr>
              </a:solidFill>
              <a:latin typeface="Britannic Bold" panose="020B0903060703020204" pitchFamily="34" charset="77"/>
              <a:cs typeface="Calibri"/>
            </a:rPr>
            <a:pPr algn="ctr"/>
            <a:t>1470</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4</xdr:col>
      <xdr:colOff>723900</xdr:colOff>
      <xdr:row>6</xdr:row>
      <xdr:rowOff>12700</xdr:rowOff>
    </xdr:from>
    <xdr:to>
      <xdr:col>8</xdr:col>
      <xdr:colOff>685800</xdr:colOff>
      <xdr:row>7</xdr:row>
      <xdr:rowOff>190500</xdr:rowOff>
    </xdr:to>
    <xdr:sp macro="" textlink="">
      <xdr:nvSpPr>
        <xdr:cNvPr id="129" name="TextBox 128">
          <a:extLst>
            <a:ext uri="{FF2B5EF4-FFF2-40B4-BE49-F238E27FC236}">
              <a16:creationId xmlns:a16="http://schemas.microsoft.com/office/drawing/2014/main" id="{D24B97FA-BDE4-6D49-8944-B19D8B50932F}"/>
            </a:ext>
          </a:extLst>
        </xdr:cNvPr>
        <xdr:cNvSpPr txBox="1"/>
      </xdr:nvSpPr>
      <xdr:spPr>
        <a:xfrm>
          <a:off x="40259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a:t>
          </a:r>
        </a:p>
      </xdr:txBody>
    </xdr:sp>
    <xdr:clientData/>
  </xdr:twoCellAnchor>
  <xdr:twoCellAnchor>
    <xdr:from>
      <xdr:col>4</xdr:col>
      <xdr:colOff>723900</xdr:colOff>
      <xdr:row>7</xdr:row>
      <xdr:rowOff>190500</xdr:rowOff>
    </xdr:from>
    <xdr:to>
      <xdr:col>8</xdr:col>
      <xdr:colOff>685800</xdr:colOff>
      <xdr:row>11</xdr:row>
      <xdr:rowOff>38100</xdr:rowOff>
    </xdr:to>
    <xdr:sp macro="" textlink="KPI!B7">
      <xdr:nvSpPr>
        <xdr:cNvPr id="130" name="TextBox 129">
          <a:extLst>
            <a:ext uri="{FF2B5EF4-FFF2-40B4-BE49-F238E27FC236}">
              <a16:creationId xmlns:a16="http://schemas.microsoft.com/office/drawing/2014/main" id="{4DA7B51C-0F85-DC41-B914-5385C0E5DD5C}"/>
            </a:ext>
          </a:extLst>
        </xdr:cNvPr>
        <xdr:cNvSpPr txBox="1"/>
      </xdr:nvSpPr>
      <xdr:spPr>
        <a:xfrm>
          <a:off x="40259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D19279-75F1-1B41-8E77-5EDCB863159A}" type="TxLink">
            <a:rPr lang="en-US" sz="4000" b="0" i="0" u="none" strike="noStrike">
              <a:solidFill>
                <a:schemeClr val="accent5">
                  <a:lumMod val="75000"/>
                </a:schemeClr>
              </a:solidFill>
              <a:latin typeface="Britannic Bold" panose="020B0903060703020204" pitchFamily="34" charset="77"/>
              <a:cs typeface="Calibri"/>
            </a:rPr>
            <a:pPr algn="ctr"/>
            <a:t>237</a:t>
          </a:fld>
          <a:endParaRPr lang="en-GB" sz="9600">
            <a:solidFill>
              <a:schemeClr val="accent5">
                <a:lumMod val="75000"/>
              </a:schemeClr>
            </a:solidFill>
            <a:latin typeface="Britannic Bold" panose="020B0903060703020204" pitchFamily="34" charset="77"/>
          </a:endParaRPr>
        </a:p>
      </xdr:txBody>
    </xdr:sp>
    <xdr:clientData/>
  </xdr:twoCellAnchor>
  <xdr:twoCellAnchor>
    <xdr:from>
      <xdr:col>9</xdr:col>
      <xdr:colOff>0</xdr:colOff>
      <xdr:row>6</xdr:row>
      <xdr:rowOff>12700</xdr:rowOff>
    </xdr:from>
    <xdr:to>
      <xdr:col>12</xdr:col>
      <xdr:colOff>787400</xdr:colOff>
      <xdr:row>7</xdr:row>
      <xdr:rowOff>190500</xdr:rowOff>
    </xdr:to>
    <xdr:sp macro="" textlink="">
      <xdr:nvSpPr>
        <xdr:cNvPr id="141" name="TextBox 140">
          <a:extLst>
            <a:ext uri="{FF2B5EF4-FFF2-40B4-BE49-F238E27FC236}">
              <a16:creationId xmlns:a16="http://schemas.microsoft.com/office/drawing/2014/main" id="{43E93491-18DD-244C-BC3A-8AEE520CC10D}"/>
            </a:ext>
          </a:extLst>
        </xdr:cNvPr>
        <xdr:cNvSpPr txBox="1"/>
      </xdr:nvSpPr>
      <xdr:spPr>
        <a:xfrm>
          <a:off x="74295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ACTIVE EMPLOYEE</a:t>
          </a:r>
        </a:p>
      </xdr:txBody>
    </xdr:sp>
    <xdr:clientData/>
  </xdr:twoCellAnchor>
  <xdr:twoCellAnchor>
    <xdr:from>
      <xdr:col>9</xdr:col>
      <xdr:colOff>0</xdr:colOff>
      <xdr:row>7</xdr:row>
      <xdr:rowOff>190500</xdr:rowOff>
    </xdr:from>
    <xdr:to>
      <xdr:col>12</xdr:col>
      <xdr:colOff>787400</xdr:colOff>
      <xdr:row>11</xdr:row>
      <xdr:rowOff>38100</xdr:rowOff>
    </xdr:to>
    <xdr:sp macro="" textlink="KPI!D7">
      <xdr:nvSpPr>
        <xdr:cNvPr id="142" name="TextBox 141">
          <a:extLst>
            <a:ext uri="{FF2B5EF4-FFF2-40B4-BE49-F238E27FC236}">
              <a16:creationId xmlns:a16="http://schemas.microsoft.com/office/drawing/2014/main" id="{3A25B5B7-1668-C448-B096-C2ED7D3585B9}"/>
            </a:ext>
          </a:extLst>
        </xdr:cNvPr>
        <xdr:cNvSpPr txBox="1"/>
      </xdr:nvSpPr>
      <xdr:spPr>
        <a:xfrm>
          <a:off x="74295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B69861-B65D-4846-87F8-BAB7629327BC}" type="TxLink">
            <a:rPr lang="en-US" sz="4000" b="0" i="0" u="none" strike="noStrike">
              <a:solidFill>
                <a:schemeClr val="accent5">
                  <a:lumMod val="75000"/>
                </a:schemeClr>
              </a:solidFill>
              <a:latin typeface="Britannic Bold" panose="020B0903060703020204" pitchFamily="34" charset="77"/>
              <a:cs typeface="Calibri"/>
            </a:rPr>
            <a:pPr algn="ctr"/>
            <a:t>1233</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13</xdr:col>
      <xdr:colOff>88900</xdr:colOff>
      <xdr:row>6</xdr:row>
      <xdr:rowOff>12700</xdr:rowOff>
    </xdr:from>
    <xdr:to>
      <xdr:col>17</xdr:col>
      <xdr:colOff>63500</xdr:colOff>
      <xdr:row>7</xdr:row>
      <xdr:rowOff>190500</xdr:rowOff>
    </xdr:to>
    <xdr:sp macro="" textlink="">
      <xdr:nvSpPr>
        <xdr:cNvPr id="143" name="TextBox 142">
          <a:extLst>
            <a:ext uri="{FF2B5EF4-FFF2-40B4-BE49-F238E27FC236}">
              <a16:creationId xmlns:a16="http://schemas.microsoft.com/office/drawing/2014/main" id="{C63B4764-17B5-3C4A-9A7D-B8D8A2796149}"/>
            </a:ext>
          </a:extLst>
        </xdr:cNvPr>
        <xdr:cNvSpPr txBox="1"/>
      </xdr:nvSpPr>
      <xdr:spPr>
        <a:xfrm>
          <a:off x="10820400" y="1231900"/>
          <a:ext cx="32766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ATTRITION RATE</a:t>
          </a:r>
        </a:p>
      </xdr:txBody>
    </xdr:sp>
    <xdr:clientData/>
  </xdr:twoCellAnchor>
  <xdr:twoCellAnchor>
    <xdr:from>
      <xdr:col>13</xdr:col>
      <xdr:colOff>88900</xdr:colOff>
      <xdr:row>7</xdr:row>
      <xdr:rowOff>190500</xdr:rowOff>
    </xdr:from>
    <xdr:to>
      <xdr:col>17</xdr:col>
      <xdr:colOff>63500</xdr:colOff>
      <xdr:row>11</xdr:row>
      <xdr:rowOff>38100</xdr:rowOff>
    </xdr:to>
    <xdr:sp macro="" textlink="KPI!E7">
      <xdr:nvSpPr>
        <xdr:cNvPr id="144" name="TextBox 143">
          <a:extLst>
            <a:ext uri="{FF2B5EF4-FFF2-40B4-BE49-F238E27FC236}">
              <a16:creationId xmlns:a16="http://schemas.microsoft.com/office/drawing/2014/main" id="{164EBFA4-F8AB-BB43-8949-F9BA511EBA0D}"/>
            </a:ext>
          </a:extLst>
        </xdr:cNvPr>
        <xdr:cNvSpPr txBox="1"/>
      </xdr:nvSpPr>
      <xdr:spPr>
        <a:xfrm>
          <a:off x="10820400" y="1612900"/>
          <a:ext cx="32766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C8127DB-D749-D744-BE30-6C746D5939E4}" type="TxLink">
            <a:rPr lang="en-US" sz="4000" b="0" i="0" u="none" strike="noStrike">
              <a:solidFill>
                <a:schemeClr val="accent5">
                  <a:lumMod val="75000"/>
                </a:schemeClr>
              </a:solidFill>
              <a:latin typeface="Britannic Bold" panose="020B0903060703020204" pitchFamily="34" charset="77"/>
              <a:cs typeface="Calibri"/>
            </a:rPr>
            <a:pPr algn="ctr"/>
            <a:t>16.12%</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17</xdr:col>
      <xdr:colOff>203200</xdr:colOff>
      <xdr:row>6</xdr:row>
      <xdr:rowOff>12700</xdr:rowOff>
    </xdr:from>
    <xdr:to>
      <xdr:col>21</xdr:col>
      <xdr:colOff>165100</xdr:colOff>
      <xdr:row>7</xdr:row>
      <xdr:rowOff>190500</xdr:rowOff>
    </xdr:to>
    <xdr:sp macro="" textlink="">
      <xdr:nvSpPr>
        <xdr:cNvPr id="145" name="TextBox 144">
          <a:extLst>
            <a:ext uri="{FF2B5EF4-FFF2-40B4-BE49-F238E27FC236}">
              <a16:creationId xmlns:a16="http://schemas.microsoft.com/office/drawing/2014/main" id="{3AA1A226-FBE3-774F-AD9F-437002AFAF2E}"/>
            </a:ext>
          </a:extLst>
        </xdr:cNvPr>
        <xdr:cNvSpPr txBox="1"/>
      </xdr:nvSpPr>
      <xdr:spPr>
        <a:xfrm>
          <a:off x="14236700" y="1231900"/>
          <a:ext cx="3263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2000">
              <a:latin typeface="Britannic Bold" panose="020B0903060703020204" pitchFamily="34" charset="77"/>
              <a:cs typeface="Baloo Bhaijaan" panose="03080902040302020200" pitchFamily="66" charset="-78"/>
            </a:rPr>
            <a:t>AVERAGE</a:t>
          </a:r>
          <a:r>
            <a:rPr lang="en-GB" sz="2000" baseline="0">
              <a:latin typeface="Britannic Bold" panose="020B0903060703020204" pitchFamily="34" charset="77"/>
              <a:cs typeface="Baloo Bhaijaan" panose="03080902040302020200" pitchFamily="66" charset="-78"/>
            </a:rPr>
            <a:t> AGE</a:t>
          </a:r>
          <a:endParaRPr lang="en-GB" sz="2000">
            <a:latin typeface="Britannic Bold" panose="020B0903060703020204" pitchFamily="34" charset="77"/>
            <a:cs typeface="Baloo Bhaijaan" panose="03080902040302020200" pitchFamily="66" charset="-78"/>
          </a:endParaRPr>
        </a:p>
      </xdr:txBody>
    </xdr:sp>
    <xdr:clientData/>
  </xdr:twoCellAnchor>
  <xdr:twoCellAnchor>
    <xdr:from>
      <xdr:col>17</xdr:col>
      <xdr:colOff>203200</xdr:colOff>
      <xdr:row>7</xdr:row>
      <xdr:rowOff>190500</xdr:rowOff>
    </xdr:from>
    <xdr:to>
      <xdr:col>21</xdr:col>
      <xdr:colOff>165100</xdr:colOff>
      <xdr:row>11</xdr:row>
      <xdr:rowOff>38100</xdr:rowOff>
    </xdr:to>
    <xdr:sp macro="" textlink="KPI!C7">
      <xdr:nvSpPr>
        <xdr:cNvPr id="146" name="TextBox 145">
          <a:extLst>
            <a:ext uri="{FF2B5EF4-FFF2-40B4-BE49-F238E27FC236}">
              <a16:creationId xmlns:a16="http://schemas.microsoft.com/office/drawing/2014/main" id="{3915BA3D-EBD7-334B-9F38-A0D0E9BC4A68}"/>
            </a:ext>
          </a:extLst>
        </xdr:cNvPr>
        <xdr:cNvSpPr txBox="1"/>
      </xdr:nvSpPr>
      <xdr:spPr>
        <a:xfrm>
          <a:off x="14236700" y="1612900"/>
          <a:ext cx="3263900" cy="660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B91F395-2B95-C04E-9639-F366CD270512}" type="TxLink">
            <a:rPr lang="en-US" sz="4000" b="0" i="0" u="none" strike="noStrike">
              <a:solidFill>
                <a:schemeClr val="accent5">
                  <a:lumMod val="75000"/>
                </a:schemeClr>
              </a:solidFill>
              <a:latin typeface="Britannic Bold" panose="020B0903060703020204" pitchFamily="34" charset="77"/>
              <a:cs typeface="Calibri"/>
            </a:rPr>
            <a:pPr algn="ctr"/>
            <a:t>36.9</a:t>
          </a:fld>
          <a:endParaRPr lang="en-GB" sz="4000">
            <a:solidFill>
              <a:schemeClr val="accent5">
                <a:lumMod val="75000"/>
              </a:schemeClr>
            </a:solidFill>
            <a:latin typeface="Britannic Bold" panose="020B0903060703020204" pitchFamily="34" charset="77"/>
          </a:endParaRPr>
        </a:p>
      </xdr:txBody>
    </xdr:sp>
    <xdr:clientData/>
  </xdr:twoCellAnchor>
  <xdr:twoCellAnchor>
    <xdr:from>
      <xdr:col>0</xdr:col>
      <xdr:colOff>609600</xdr:colOff>
      <xdr:row>1</xdr:row>
      <xdr:rowOff>25400</xdr:rowOff>
    </xdr:from>
    <xdr:to>
      <xdr:col>12</xdr:col>
      <xdr:colOff>495300</xdr:colOff>
      <xdr:row>5</xdr:row>
      <xdr:rowOff>101600</xdr:rowOff>
    </xdr:to>
    <xdr:sp macro="" textlink="">
      <xdr:nvSpPr>
        <xdr:cNvPr id="148" name="TextBox 147">
          <a:extLst>
            <a:ext uri="{FF2B5EF4-FFF2-40B4-BE49-F238E27FC236}">
              <a16:creationId xmlns:a16="http://schemas.microsoft.com/office/drawing/2014/main" id="{73A1B037-9E5C-7603-4555-0A0B31EE8BD1}"/>
            </a:ext>
          </a:extLst>
        </xdr:cNvPr>
        <xdr:cNvSpPr txBox="1"/>
      </xdr:nvSpPr>
      <xdr:spPr>
        <a:xfrm>
          <a:off x="609600" y="228600"/>
          <a:ext cx="9791700" cy="889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6000">
              <a:latin typeface="Britannic Bold" panose="020B0903060703020204" pitchFamily="34" charset="77"/>
            </a:rPr>
            <a:t>HR ANALYTICS DASHBOARD</a:t>
          </a:r>
        </a:p>
      </xdr:txBody>
    </xdr:sp>
    <xdr:clientData/>
  </xdr:twoCellAnchor>
  <xdr:twoCellAnchor>
    <xdr:from>
      <xdr:col>12</xdr:col>
      <xdr:colOff>635000</xdr:colOff>
      <xdr:row>1</xdr:row>
      <xdr:rowOff>25400</xdr:rowOff>
    </xdr:from>
    <xdr:to>
      <xdr:col>19</xdr:col>
      <xdr:colOff>533400</xdr:colOff>
      <xdr:row>5</xdr:row>
      <xdr:rowOff>88900</xdr:rowOff>
    </xdr:to>
    <xdr:sp macro="" textlink="">
      <xdr:nvSpPr>
        <xdr:cNvPr id="149" name="TextBox 148">
          <a:extLst>
            <a:ext uri="{FF2B5EF4-FFF2-40B4-BE49-F238E27FC236}">
              <a16:creationId xmlns:a16="http://schemas.microsoft.com/office/drawing/2014/main" id="{8B5624AD-7605-C73B-0B93-FE418B3EFC0A}"/>
            </a:ext>
          </a:extLst>
        </xdr:cNvPr>
        <xdr:cNvSpPr txBox="1"/>
      </xdr:nvSpPr>
      <xdr:spPr>
        <a:xfrm>
          <a:off x="10541000" y="228600"/>
          <a:ext cx="5676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3600">
              <a:latin typeface="Britannic Bold" panose="020B0903060703020204" pitchFamily="34" charset="77"/>
            </a:rPr>
            <a:t>JOB SATISFACTION RATING</a:t>
          </a:r>
        </a:p>
      </xdr:txBody>
    </xdr:sp>
    <xdr:clientData/>
  </xdr:twoCellAnchor>
  <xdr:twoCellAnchor>
    <xdr:from>
      <xdr:col>19</xdr:col>
      <xdr:colOff>622300</xdr:colOff>
      <xdr:row>1</xdr:row>
      <xdr:rowOff>38100</xdr:rowOff>
    </xdr:from>
    <xdr:to>
      <xdr:col>21</xdr:col>
      <xdr:colOff>152400</xdr:colOff>
      <xdr:row>5</xdr:row>
      <xdr:rowOff>101600</xdr:rowOff>
    </xdr:to>
    <xdr:graphicFrame macro="">
      <xdr:nvGraphicFramePr>
        <xdr:cNvPr id="150" name="Chart 149">
          <a:extLst>
            <a:ext uri="{FF2B5EF4-FFF2-40B4-BE49-F238E27FC236}">
              <a16:creationId xmlns:a16="http://schemas.microsoft.com/office/drawing/2014/main" id="{D7B86711-8CCC-F247-9D8A-D79CD6D95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177800</xdr:colOff>
      <xdr:row>2</xdr:row>
      <xdr:rowOff>101600</xdr:rowOff>
    </xdr:from>
    <xdr:to>
      <xdr:col>20</xdr:col>
      <xdr:colOff>609600</xdr:colOff>
      <xdr:row>4</xdr:row>
      <xdr:rowOff>12700</xdr:rowOff>
    </xdr:to>
    <xdr:sp macro="" textlink="Rating!$B$6">
      <xdr:nvSpPr>
        <xdr:cNvPr id="151" name="TextBox 150">
          <a:extLst>
            <a:ext uri="{FF2B5EF4-FFF2-40B4-BE49-F238E27FC236}">
              <a16:creationId xmlns:a16="http://schemas.microsoft.com/office/drawing/2014/main" id="{3A407F09-6FF1-3F37-0C52-10B668C3B6F1}"/>
            </a:ext>
          </a:extLst>
        </xdr:cNvPr>
        <xdr:cNvSpPr txBox="1"/>
      </xdr:nvSpPr>
      <xdr:spPr>
        <a:xfrm>
          <a:off x="16687800" y="508000"/>
          <a:ext cx="4318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93D003-1D59-C04C-A87B-CADD31BBB309}" type="TxLink">
            <a:rPr lang="en-US" sz="1200" b="0" i="0" u="none" strike="noStrike">
              <a:solidFill>
                <a:srgbClr val="000000"/>
              </a:solidFill>
              <a:latin typeface="Britannic Bold" panose="020B0903060703020204" pitchFamily="34" charset="77"/>
              <a:cs typeface="Calibri"/>
            </a:rPr>
            <a:pPr algn="ctr"/>
            <a:t>2.6</a:t>
          </a:fld>
          <a:endParaRPr lang="en-GB" sz="1100">
            <a:latin typeface="Britannic Bold" panose="020B0903060703020204" pitchFamily="34" charset="77"/>
          </a:endParaRPr>
        </a:p>
      </xdr:txBody>
    </xdr:sp>
    <xdr:clientData/>
  </xdr:twoCellAnchor>
  <xdr:twoCellAnchor>
    <xdr:from>
      <xdr:col>0</xdr:col>
      <xdr:colOff>762000</xdr:colOff>
      <xdr:row>11</xdr:row>
      <xdr:rowOff>165100</xdr:rowOff>
    </xdr:from>
    <xdr:to>
      <xdr:col>6</xdr:col>
      <xdr:colOff>393700</xdr:colOff>
      <xdr:row>13</xdr:row>
      <xdr:rowOff>114300</xdr:rowOff>
    </xdr:to>
    <xdr:sp macro="" textlink="">
      <xdr:nvSpPr>
        <xdr:cNvPr id="153" name="TextBox 152">
          <a:extLst>
            <a:ext uri="{FF2B5EF4-FFF2-40B4-BE49-F238E27FC236}">
              <a16:creationId xmlns:a16="http://schemas.microsoft.com/office/drawing/2014/main" id="{23CB12C4-9D70-AB32-B814-2702A3AB50AD}"/>
            </a:ext>
          </a:extLst>
        </xdr:cNvPr>
        <xdr:cNvSpPr txBox="1"/>
      </xdr:nvSpPr>
      <xdr:spPr>
        <a:xfrm>
          <a:off x="762000" y="2400300"/>
          <a:ext cx="45847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Total Employees By Gender</a:t>
          </a:r>
        </a:p>
      </xdr:txBody>
    </xdr:sp>
    <xdr:clientData/>
  </xdr:twoCellAnchor>
  <xdr:twoCellAnchor editAs="oneCell">
    <xdr:from>
      <xdr:col>0</xdr:col>
      <xdr:colOff>762000</xdr:colOff>
      <xdr:row>13</xdr:row>
      <xdr:rowOff>139700</xdr:rowOff>
    </xdr:from>
    <xdr:to>
      <xdr:col>6</xdr:col>
      <xdr:colOff>393700</xdr:colOff>
      <xdr:row>16</xdr:row>
      <xdr:rowOff>165100</xdr:rowOff>
    </xdr:to>
    <mc:AlternateContent xmlns:mc="http://schemas.openxmlformats.org/markup-compatibility/2006" xmlns:a14="http://schemas.microsoft.com/office/drawing/2010/main">
      <mc:Choice Requires="a14">
        <xdr:graphicFrame macro="">
          <xdr:nvGraphicFramePr>
            <xdr:cNvPr id="154" name="Gender 3">
              <a:extLst>
                <a:ext uri="{FF2B5EF4-FFF2-40B4-BE49-F238E27FC236}">
                  <a16:creationId xmlns:a16="http://schemas.microsoft.com/office/drawing/2014/main" id="{22F417B9-CFC8-154E-870E-2E993E039C6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62000" y="2781300"/>
              <a:ext cx="4584700" cy="635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609600</xdr:colOff>
      <xdr:row>16</xdr:row>
      <xdr:rowOff>190500</xdr:rowOff>
    </xdr:from>
    <xdr:to>
      <xdr:col>3</xdr:col>
      <xdr:colOff>584200</xdr:colOff>
      <xdr:row>25</xdr:row>
      <xdr:rowOff>190500</xdr:rowOff>
    </xdr:to>
    <xdr:graphicFrame macro="">
      <xdr:nvGraphicFramePr>
        <xdr:cNvPr id="155" name="Chart 154">
          <a:extLst>
            <a:ext uri="{FF2B5EF4-FFF2-40B4-BE49-F238E27FC236}">
              <a16:creationId xmlns:a16="http://schemas.microsoft.com/office/drawing/2014/main" id="{C49307D6-7623-1E4E-9CF6-7E29ADE7A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520700</xdr:colOff>
      <xdr:row>16</xdr:row>
      <xdr:rowOff>165100</xdr:rowOff>
    </xdr:from>
    <xdr:to>
      <xdr:col>6</xdr:col>
      <xdr:colOff>584200</xdr:colOff>
      <xdr:row>26</xdr:row>
      <xdr:rowOff>0</xdr:rowOff>
    </xdr:to>
    <xdr:graphicFrame macro="">
      <xdr:nvGraphicFramePr>
        <xdr:cNvPr id="156" name="Chart 155">
          <a:extLst>
            <a:ext uri="{FF2B5EF4-FFF2-40B4-BE49-F238E27FC236}">
              <a16:creationId xmlns:a16="http://schemas.microsoft.com/office/drawing/2014/main" id="{60D5EDC2-7807-894C-A824-29BEF11B5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139700</xdr:colOff>
      <xdr:row>11</xdr:row>
      <xdr:rowOff>152400</xdr:rowOff>
    </xdr:from>
    <xdr:to>
      <xdr:col>14</xdr:col>
      <xdr:colOff>25400</xdr:colOff>
      <xdr:row>13</xdr:row>
      <xdr:rowOff>101600</xdr:rowOff>
    </xdr:to>
    <xdr:sp macro="" textlink="">
      <xdr:nvSpPr>
        <xdr:cNvPr id="157" name="TextBox 156">
          <a:extLst>
            <a:ext uri="{FF2B5EF4-FFF2-40B4-BE49-F238E27FC236}">
              <a16:creationId xmlns:a16="http://schemas.microsoft.com/office/drawing/2014/main" id="{ED9454B1-71E7-7441-AEF0-07F5D797691D}"/>
            </a:ext>
          </a:extLst>
        </xdr:cNvPr>
        <xdr:cNvSpPr txBox="1"/>
      </xdr:nvSpPr>
      <xdr:spPr>
        <a:xfrm>
          <a:off x="5918200" y="2387600"/>
          <a:ext cx="56642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Education</a:t>
          </a:r>
        </a:p>
      </xdr:txBody>
    </xdr:sp>
    <xdr:clientData/>
  </xdr:twoCellAnchor>
  <xdr:twoCellAnchor>
    <xdr:from>
      <xdr:col>6</xdr:col>
      <xdr:colOff>711200</xdr:colOff>
      <xdr:row>12</xdr:row>
      <xdr:rowOff>190500</xdr:rowOff>
    </xdr:from>
    <xdr:to>
      <xdr:col>14</xdr:col>
      <xdr:colOff>241300</xdr:colOff>
      <xdr:row>26</xdr:row>
      <xdr:rowOff>0</xdr:rowOff>
    </xdr:to>
    <xdr:graphicFrame macro="">
      <xdr:nvGraphicFramePr>
        <xdr:cNvPr id="158" name="Chart 157">
          <a:extLst>
            <a:ext uri="{FF2B5EF4-FFF2-40B4-BE49-F238E27FC236}">
              <a16:creationId xmlns:a16="http://schemas.microsoft.com/office/drawing/2014/main" id="{8CB348DA-AA4E-7E4A-B34E-50A56C9C2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596900</xdr:colOff>
      <xdr:row>11</xdr:row>
      <xdr:rowOff>190500</xdr:rowOff>
    </xdr:from>
    <xdr:to>
      <xdr:col>20</xdr:col>
      <xdr:colOff>800100</xdr:colOff>
      <xdr:row>13</xdr:row>
      <xdr:rowOff>114300</xdr:rowOff>
    </xdr:to>
    <xdr:sp macro="" textlink="">
      <xdr:nvSpPr>
        <xdr:cNvPr id="159" name="TextBox 158">
          <a:extLst>
            <a:ext uri="{FF2B5EF4-FFF2-40B4-BE49-F238E27FC236}">
              <a16:creationId xmlns:a16="http://schemas.microsoft.com/office/drawing/2014/main" id="{E6AA9F8B-4627-0D46-B388-A03F35BFF64D}"/>
            </a:ext>
          </a:extLst>
        </xdr:cNvPr>
        <xdr:cNvSpPr txBox="1"/>
      </xdr:nvSpPr>
      <xdr:spPr>
        <a:xfrm>
          <a:off x="12153900" y="2425700"/>
          <a:ext cx="5156200"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Job Role</a:t>
          </a:r>
        </a:p>
      </xdr:txBody>
    </xdr:sp>
    <xdr:clientData/>
  </xdr:twoCellAnchor>
  <xdr:twoCellAnchor>
    <xdr:from>
      <xdr:col>14</xdr:col>
      <xdr:colOff>292100</xdr:colOff>
      <xdr:row>13</xdr:row>
      <xdr:rowOff>101600</xdr:rowOff>
    </xdr:from>
    <xdr:to>
      <xdr:col>21</xdr:col>
      <xdr:colOff>241300</xdr:colOff>
      <xdr:row>26</xdr:row>
      <xdr:rowOff>76200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91953E7D-2836-2947-9DBF-685BED816E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40260" y="2677160"/>
              <a:ext cx="5923280" cy="25501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774700</xdr:colOff>
      <xdr:row>26</xdr:row>
      <xdr:rowOff>127000</xdr:rowOff>
    </xdr:from>
    <xdr:to>
      <xdr:col>6</xdr:col>
      <xdr:colOff>393700</xdr:colOff>
      <xdr:row>28</xdr:row>
      <xdr:rowOff>76200</xdr:rowOff>
    </xdr:to>
    <xdr:sp macro="" textlink="">
      <xdr:nvSpPr>
        <xdr:cNvPr id="161" name="TextBox 160">
          <a:extLst>
            <a:ext uri="{FF2B5EF4-FFF2-40B4-BE49-F238E27FC236}">
              <a16:creationId xmlns:a16="http://schemas.microsoft.com/office/drawing/2014/main" id="{F24AE152-6D7C-D34B-A83E-FF927A5A2E83}"/>
            </a:ext>
          </a:extLst>
        </xdr:cNvPr>
        <xdr:cNvSpPr txBox="1"/>
      </xdr:nvSpPr>
      <xdr:spPr>
        <a:xfrm>
          <a:off x="774700" y="5410200"/>
          <a:ext cx="457200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Department</a:t>
          </a:r>
        </a:p>
      </xdr:txBody>
    </xdr:sp>
    <xdr:clientData/>
  </xdr:twoCellAnchor>
  <xdr:twoCellAnchor>
    <xdr:from>
      <xdr:col>0</xdr:col>
      <xdr:colOff>622300</xdr:colOff>
      <xdr:row>28</xdr:row>
      <xdr:rowOff>88900</xdr:rowOff>
    </xdr:from>
    <xdr:to>
      <xdr:col>6</xdr:col>
      <xdr:colOff>584200</xdr:colOff>
      <xdr:row>40</xdr:row>
      <xdr:rowOff>88900</xdr:rowOff>
    </xdr:to>
    <xdr:graphicFrame macro="">
      <xdr:nvGraphicFramePr>
        <xdr:cNvPr id="162" name="Chart 161">
          <a:extLst>
            <a:ext uri="{FF2B5EF4-FFF2-40B4-BE49-F238E27FC236}">
              <a16:creationId xmlns:a16="http://schemas.microsoft.com/office/drawing/2014/main" id="{9081410C-2B1D-6444-814A-D2CD98C22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127000</xdr:colOff>
      <xdr:row>26</xdr:row>
      <xdr:rowOff>101600</xdr:rowOff>
    </xdr:from>
    <xdr:to>
      <xdr:col>11</xdr:col>
      <xdr:colOff>762000</xdr:colOff>
      <xdr:row>28</xdr:row>
      <xdr:rowOff>88900</xdr:rowOff>
    </xdr:to>
    <xdr:sp macro="" textlink="">
      <xdr:nvSpPr>
        <xdr:cNvPr id="163" name="TextBox 162">
          <a:extLst>
            <a:ext uri="{FF2B5EF4-FFF2-40B4-BE49-F238E27FC236}">
              <a16:creationId xmlns:a16="http://schemas.microsoft.com/office/drawing/2014/main" id="{9184EC9A-DFCB-CB4C-9289-27E96F3DCA3B}"/>
            </a:ext>
          </a:extLst>
        </xdr:cNvPr>
        <xdr:cNvSpPr txBox="1"/>
      </xdr:nvSpPr>
      <xdr:spPr>
        <a:xfrm>
          <a:off x="5905500" y="5384800"/>
          <a:ext cx="3937000" cy="393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400">
              <a:latin typeface="Britannic Bold" panose="020B0903060703020204" pitchFamily="34" charset="77"/>
            </a:rPr>
            <a:t>Attrition By Age-Group</a:t>
          </a:r>
        </a:p>
      </xdr:txBody>
    </xdr:sp>
    <xdr:clientData/>
  </xdr:twoCellAnchor>
  <xdr:twoCellAnchor>
    <xdr:from>
      <xdr:col>6</xdr:col>
      <xdr:colOff>711200</xdr:colOff>
      <xdr:row>28</xdr:row>
      <xdr:rowOff>88900</xdr:rowOff>
    </xdr:from>
    <xdr:to>
      <xdr:col>12</xdr:col>
      <xdr:colOff>279400</xdr:colOff>
      <xdr:row>40</xdr:row>
      <xdr:rowOff>101600</xdr:rowOff>
    </xdr:to>
    <xdr:graphicFrame macro="">
      <xdr:nvGraphicFramePr>
        <xdr:cNvPr id="164" name="Chart 163">
          <a:extLst>
            <a:ext uri="{FF2B5EF4-FFF2-40B4-BE49-F238E27FC236}">
              <a16:creationId xmlns:a16="http://schemas.microsoft.com/office/drawing/2014/main" id="{CA1895A8-ED5F-CA44-BB3E-32D402C32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685800</xdr:colOff>
      <xdr:row>26</xdr:row>
      <xdr:rowOff>114300</xdr:rowOff>
    </xdr:from>
    <xdr:to>
      <xdr:col>16</xdr:col>
      <xdr:colOff>469900</xdr:colOff>
      <xdr:row>28</xdr:row>
      <xdr:rowOff>127000</xdr:rowOff>
    </xdr:to>
    <xdr:sp macro="" textlink="">
      <xdr:nvSpPr>
        <xdr:cNvPr id="165" name="TextBox 164">
          <a:extLst>
            <a:ext uri="{FF2B5EF4-FFF2-40B4-BE49-F238E27FC236}">
              <a16:creationId xmlns:a16="http://schemas.microsoft.com/office/drawing/2014/main" id="{B0641173-F75D-C94A-B7D6-831C6A7CCD50}"/>
            </a:ext>
          </a:extLst>
        </xdr:cNvPr>
        <xdr:cNvSpPr txBox="1"/>
      </xdr:nvSpPr>
      <xdr:spPr>
        <a:xfrm>
          <a:off x="10591800" y="5397500"/>
          <a:ext cx="3086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a:latin typeface="Britannic Bold" panose="020B0903060703020204" pitchFamily="34" charset="77"/>
            </a:rPr>
            <a:t>Attrition By Marital-Status</a:t>
          </a:r>
        </a:p>
      </xdr:txBody>
    </xdr:sp>
    <xdr:clientData/>
  </xdr:twoCellAnchor>
  <xdr:twoCellAnchor>
    <xdr:from>
      <xdr:col>12</xdr:col>
      <xdr:colOff>393700</xdr:colOff>
      <xdr:row>28</xdr:row>
      <xdr:rowOff>101600</xdr:rowOff>
    </xdr:from>
    <xdr:to>
      <xdr:col>16</xdr:col>
      <xdr:colOff>723900</xdr:colOff>
      <xdr:row>40</xdr:row>
      <xdr:rowOff>88900</xdr:rowOff>
    </xdr:to>
    <mc:AlternateContent xmlns:mc="http://schemas.openxmlformats.org/markup-compatibility/2006">
      <mc:Choice xmlns:cx2="http://schemas.microsoft.com/office/drawing/2015/10/21/chartex" Requires="cx2">
        <xdr:graphicFrame macro="">
          <xdr:nvGraphicFramePr>
            <xdr:cNvPr id="166" name="Chart 165">
              <a:extLst>
                <a:ext uri="{FF2B5EF4-FFF2-40B4-BE49-F238E27FC236}">
                  <a16:creationId xmlns:a16="http://schemas.microsoft.com/office/drawing/2014/main" id="{429BE302-DB33-D349-B9AD-6F7D4B151C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634980" y="5648960"/>
              <a:ext cx="3743960" cy="23647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25400</xdr:colOff>
      <xdr:row>34</xdr:row>
      <xdr:rowOff>101600</xdr:rowOff>
    </xdr:from>
    <xdr:to>
      <xdr:col>21</xdr:col>
      <xdr:colOff>165100</xdr:colOff>
      <xdr:row>40</xdr:row>
      <xdr:rowOff>101600</xdr:rowOff>
    </xdr:to>
    <mc:AlternateContent xmlns:mc="http://schemas.openxmlformats.org/markup-compatibility/2006" xmlns:a14="http://schemas.microsoft.com/office/drawing/2010/main">
      <mc:Choice Requires="a14">
        <xdr:graphicFrame macro="">
          <xdr:nvGraphicFramePr>
            <xdr:cNvPr id="167" name="Department 1">
              <a:extLst>
                <a:ext uri="{FF2B5EF4-FFF2-40B4-BE49-F238E27FC236}">
                  <a16:creationId xmlns:a16="http://schemas.microsoft.com/office/drawing/2014/main" id="{A9387ADB-893D-C548-BDBC-17D5284A452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058900" y="7010400"/>
              <a:ext cx="34417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25400</xdr:colOff>
      <xdr:row>28</xdr:row>
      <xdr:rowOff>88900</xdr:rowOff>
    </xdr:from>
    <xdr:to>
      <xdr:col>21</xdr:col>
      <xdr:colOff>139700</xdr:colOff>
      <xdr:row>34</xdr:row>
      <xdr:rowOff>25400</xdr:rowOff>
    </xdr:to>
    <mc:AlternateContent xmlns:mc="http://schemas.openxmlformats.org/markup-compatibility/2006" xmlns:a14="http://schemas.microsoft.com/office/drawing/2010/main">
      <mc:Choice Requires="a14">
        <xdr:graphicFrame macro="">
          <xdr:nvGraphicFramePr>
            <xdr:cNvPr id="168" name="Education Field 3">
              <a:extLst>
                <a:ext uri="{FF2B5EF4-FFF2-40B4-BE49-F238E27FC236}">
                  <a16:creationId xmlns:a16="http://schemas.microsoft.com/office/drawing/2014/main" id="{B6EB1463-B124-C14A-BC99-146FFC6E7A6B}"/>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4058900" y="5778500"/>
              <a:ext cx="3416300" cy="11557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c:userShapes xmlns:c="http://schemas.openxmlformats.org/drawingml/2006/chart">
  <cdr:relSizeAnchor xmlns:cdr="http://schemas.openxmlformats.org/drawingml/2006/chartDrawing">
    <cdr:from>
      <cdr:x>0.31606</cdr:x>
      <cdr:y>0.29861</cdr:y>
    </cdr:from>
    <cdr:to>
      <cdr:x>0.68912</cdr:x>
      <cdr:y>0.72222</cdr:y>
    </cdr:to>
    <cdr:sp macro="" textlink="'Employee by Gender'!$C$11">
      <cdr:nvSpPr>
        <cdr:cNvPr id="2" name="TextBox 1">
          <a:extLst xmlns:a="http://schemas.openxmlformats.org/drawingml/2006/main">
            <a:ext uri="{FF2B5EF4-FFF2-40B4-BE49-F238E27FC236}">
              <a16:creationId xmlns:a16="http://schemas.microsoft.com/office/drawing/2014/main" id="{BEE4983A-F916-9403-8400-1D5D2E634CFC}"/>
            </a:ext>
          </a:extLst>
        </cdr:cNvPr>
        <cdr:cNvSpPr txBox="1"/>
      </cdr:nvSpPr>
      <cdr:spPr>
        <a:xfrm xmlns:a="http://schemas.openxmlformats.org/drawingml/2006/main">
          <a:off x="774700" y="546100"/>
          <a:ext cx="914400" cy="774700"/>
        </a:xfrm>
        <a:prstGeom xmlns:a="http://schemas.openxmlformats.org/drawingml/2006/main" prst="rect">
          <a:avLst/>
        </a:prstGeom>
      </cdr:spPr>
      <cdr:txBody>
        <a:bodyPr xmlns:a="http://schemas.openxmlformats.org/drawingml/2006/main" vertOverflow="clip" wrap="square" rtlCol="0" anchor="t"/>
        <a:lstStyle xmlns:a="http://schemas.openxmlformats.org/drawingml/2006/main"/>
        <a:p xmlns:a="http://schemas.openxmlformats.org/drawingml/2006/main">
          <a:pPr algn="ctr"/>
          <a:fld id="{AD004515-441F-DB48-9CAE-4E17E5D8FB91}" type="TxLink">
            <a:rPr lang="en-US" sz="2200" b="0" i="0" u="none" strike="noStrike">
              <a:solidFill>
                <a:srgbClr val="000000"/>
              </a:solidFill>
              <a:latin typeface="Britannic Bold" panose="020B0903060703020204" pitchFamily="34" charset="77"/>
              <a:cs typeface="Calibri"/>
            </a:rPr>
            <a:pPr algn="ctr"/>
            <a:t>40%</a:t>
          </a:fld>
          <a:endParaRPr lang="en-GB" sz="2200">
            <a:latin typeface="Britannic Bold" panose="020B0903060703020204" pitchFamily="34" charset="77"/>
          </a:endParaRPr>
        </a:p>
      </cdr:txBody>
    </cdr:sp>
  </cdr:relSizeAnchor>
  <cdr:relSizeAnchor xmlns:cdr="http://schemas.openxmlformats.org/drawingml/2006/chartDrawing">
    <cdr:from>
      <cdr:x>0.31606</cdr:x>
      <cdr:y>0.54861</cdr:y>
    </cdr:from>
    <cdr:to>
      <cdr:x>0.68912</cdr:x>
      <cdr:y>0.72222</cdr:y>
    </cdr:to>
    <cdr:sp macro="" textlink="">
      <cdr:nvSpPr>
        <cdr:cNvPr id="3" name="TextBox 2">
          <a:extLst xmlns:a="http://schemas.openxmlformats.org/drawingml/2006/main">
            <a:ext uri="{FF2B5EF4-FFF2-40B4-BE49-F238E27FC236}">
              <a16:creationId xmlns:a16="http://schemas.microsoft.com/office/drawing/2014/main" id="{8496CEE7-5160-8164-B128-15C61D616485}"/>
            </a:ext>
          </a:extLst>
        </cdr:cNvPr>
        <cdr:cNvSpPr txBox="1"/>
      </cdr:nvSpPr>
      <cdr:spPr>
        <a:xfrm xmlns:a="http://schemas.openxmlformats.org/drawingml/2006/main">
          <a:off x="774700" y="1003300"/>
          <a:ext cx="914400" cy="317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GB" sz="1800">
              <a:latin typeface="Britannic Bold" panose="020B0903060703020204" pitchFamily="34" charset="77"/>
            </a:rPr>
            <a:t>Female</a:t>
          </a:r>
        </a:p>
      </cdr:txBody>
    </cdr:sp>
  </cdr:relSizeAnchor>
</c:userShapes>
</file>

<file path=xl/drawings/drawing12.xml><?xml version="1.0" encoding="utf-8"?>
<c:userShapes xmlns:c="http://schemas.openxmlformats.org/drawingml/2006/chart">
  <cdr:relSizeAnchor xmlns:cdr="http://schemas.openxmlformats.org/drawingml/2006/chartDrawing">
    <cdr:from>
      <cdr:x>0.325</cdr:x>
      <cdr:y>0.29932</cdr:y>
    </cdr:from>
    <cdr:to>
      <cdr:x>0.685</cdr:x>
      <cdr:y>0.71429</cdr:y>
    </cdr:to>
    <cdr:sp macro="" textlink="'Employee by Gender'!$C$12">
      <cdr:nvSpPr>
        <cdr:cNvPr id="6" name="TextBox 1">
          <a:extLst xmlns:a="http://schemas.openxmlformats.org/drawingml/2006/main">
            <a:ext uri="{FF2B5EF4-FFF2-40B4-BE49-F238E27FC236}">
              <a16:creationId xmlns:a16="http://schemas.microsoft.com/office/drawing/2014/main" id="{381237BB-E084-ACF3-2A46-707051F6836D}"/>
            </a:ext>
          </a:extLst>
        </cdr:cNvPr>
        <cdr:cNvSpPr txBox="1"/>
      </cdr:nvSpPr>
      <cdr:spPr>
        <a:xfrm xmlns:a="http://schemas.openxmlformats.org/drawingml/2006/main">
          <a:off x="825500" y="558800"/>
          <a:ext cx="914400" cy="774700"/>
        </a:xfrm>
        <a:prstGeom xmlns:a="http://schemas.openxmlformats.org/drawingml/2006/main" prst="rect">
          <a:avLst/>
        </a:prstGeom>
      </cdr:spPr>
      <cdr:txBody>
        <a:bodyPr xmlns:a="http://schemas.openxmlformats.org/drawingml/2006/main" wrap="square" rtlCol="0" anchor="t"/>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fld id="{86023F35-596C-AC42-A9D1-3E1353C6BEF6}" type="TxLink">
            <a:rPr lang="en-US" sz="2200" b="0" i="0" u="none" strike="noStrike">
              <a:solidFill>
                <a:srgbClr val="000000"/>
              </a:solidFill>
              <a:latin typeface="Britannic Bold" panose="020B0903060703020204" pitchFamily="34" charset="77"/>
              <a:cs typeface="Calibri"/>
            </a:rPr>
            <a:pPr algn="ctr"/>
            <a:t>60%</a:t>
          </a:fld>
          <a:endParaRPr lang="en-GB" sz="2200">
            <a:latin typeface="Britannic Bold" panose="020B0903060703020204" pitchFamily="34" charset="77"/>
          </a:endParaRPr>
        </a:p>
      </cdr:txBody>
    </cdr:sp>
  </cdr:relSizeAnchor>
  <cdr:relSizeAnchor xmlns:cdr="http://schemas.openxmlformats.org/drawingml/2006/chartDrawing">
    <cdr:from>
      <cdr:x>0.325</cdr:x>
      <cdr:y>0.54422</cdr:y>
    </cdr:from>
    <cdr:to>
      <cdr:x>0.685</cdr:x>
      <cdr:y>0.71429</cdr:y>
    </cdr:to>
    <cdr:sp macro="" textlink="">
      <cdr:nvSpPr>
        <cdr:cNvPr id="7" name="TextBox 2">
          <a:extLst xmlns:a="http://schemas.openxmlformats.org/drawingml/2006/main">
            <a:ext uri="{FF2B5EF4-FFF2-40B4-BE49-F238E27FC236}">
              <a16:creationId xmlns:a16="http://schemas.microsoft.com/office/drawing/2014/main" id="{6E19E95C-E2EB-B459-B42E-11982EB18011}"/>
            </a:ext>
          </a:extLst>
        </cdr:cNvPr>
        <cdr:cNvSpPr txBox="1"/>
      </cdr:nvSpPr>
      <cdr:spPr>
        <a:xfrm xmlns:a="http://schemas.openxmlformats.org/drawingml/2006/main">
          <a:off x="825500" y="1016000"/>
          <a:ext cx="914400" cy="31750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latin typeface="Britannic Bold" panose="020B0903060703020204" pitchFamily="34" charset="77"/>
            </a:rPr>
            <a:t>Male</a:t>
          </a:r>
        </a:p>
      </cdr:txBody>
    </cdr:sp>
  </cdr:relSizeAnchor>
</c:userShapes>
</file>

<file path=xl/drawings/drawing13.xml><?xml version="1.0" encoding="utf-8"?>
<xdr:wsDr xmlns:xdr="http://schemas.openxmlformats.org/drawingml/2006/spreadsheetDrawing" xmlns:a="http://schemas.openxmlformats.org/drawingml/2006/main">
  <xdr:twoCellAnchor editAs="oneCell">
    <xdr:from>
      <xdr:col>4</xdr:col>
      <xdr:colOff>6889</xdr:colOff>
      <xdr:row>14</xdr:row>
      <xdr:rowOff>131445</xdr:rowOff>
    </xdr:from>
    <xdr:to>
      <xdr:col>4</xdr:col>
      <xdr:colOff>340725</xdr:colOff>
      <xdr:row>16</xdr:row>
      <xdr:rowOff>58792</xdr:rowOff>
    </xdr:to>
    <xdr:pic>
      <xdr:nvPicPr>
        <xdr:cNvPr id="2" name="Picture 1">
          <a:extLst>
            <a:ext uri="{FF2B5EF4-FFF2-40B4-BE49-F238E27FC236}">
              <a16:creationId xmlns:a16="http://schemas.microsoft.com/office/drawing/2014/main" id="{C1349F3F-2DB1-4B05-8285-92234304968D}"/>
            </a:ext>
          </a:extLst>
        </xdr:cNvPr>
        <xdr:cNvPicPr>
          <a:picLocks noChangeAspect="1"/>
        </xdr:cNvPicPr>
      </xdr:nvPicPr>
      <xdr:blipFill>
        <a:blip xmlns:r="http://schemas.openxmlformats.org/officeDocument/2006/relationships" r:embed="rId1"/>
        <a:stretch>
          <a:fillRect/>
        </a:stretch>
      </xdr:blipFill>
      <xdr:spPr>
        <a:xfrm>
          <a:off x="2689129" y="2905125"/>
          <a:ext cx="333836" cy="323587"/>
        </a:xfrm>
        <a:prstGeom prst="rect">
          <a:avLst/>
        </a:prstGeom>
      </xdr:spPr>
    </xdr:pic>
    <xdr:clientData/>
  </xdr:twoCellAnchor>
  <xdr:twoCellAnchor editAs="oneCell">
    <xdr:from>
      <xdr:col>8</xdr:col>
      <xdr:colOff>521336</xdr:colOff>
      <xdr:row>14</xdr:row>
      <xdr:rowOff>70486</xdr:rowOff>
    </xdr:from>
    <xdr:to>
      <xdr:col>9</xdr:col>
      <xdr:colOff>199001</xdr:colOff>
      <xdr:row>15</xdr:row>
      <xdr:rowOff>185768</xdr:rowOff>
    </xdr:to>
    <xdr:pic>
      <xdr:nvPicPr>
        <xdr:cNvPr id="3" name="Picture 2">
          <a:extLst>
            <a:ext uri="{FF2B5EF4-FFF2-40B4-BE49-F238E27FC236}">
              <a16:creationId xmlns:a16="http://schemas.microsoft.com/office/drawing/2014/main" id="{5E6B7E1C-9E55-4C51-BE6C-778F497485A3}"/>
            </a:ext>
          </a:extLst>
        </xdr:cNvPr>
        <xdr:cNvPicPr>
          <a:picLocks noChangeAspect="1"/>
        </xdr:cNvPicPr>
      </xdr:nvPicPr>
      <xdr:blipFill>
        <a:blip xmlns:r="http://schemas.openxmlformats.org/officeDocument/2006/relationships" r:embed="rId2"/>
        <a:stretch>
          <a:fillRect/>
        </a:stretch>
      </xdr:blipFill>
      <xdr:spPr>
        <a:xfrm>
          <a:off x="5885816" y="2844166"/>
          <a:ext cx="348225" cy="313402"/>
        </a:xfrm>
        <a:prstGeom prst="rect">
          <a:avLst/>
        </a:prstGeom>
      </xdr:spPr>
    </xdr:pic>
    <xdr:clientData/>
  </xdr:twoCellAnchor>
  <xdr:twoCellAnchor editAs="oneCell">
    <xdr:from>
      <xdr:col>10</xdr:col>
      <xdr:colOff>443866</xdr:colOff>
      <xdr:row>13</xdr:row>
      <xdr:rowOff>169546</xdr:rowOff>
    </xdr:from>
    <xdr:to>
      <xdr:col>11</xdr:col>
      <xdr:colOff>96545</xdr:colOff>
      <xdr:row>15</xdr:row>
      <xdr:rowOff>96545</xdr:rowOff>
    </xdr:to>
    <xdr:pic>
      <xdr:nvPicPr>
        <xdr:cNvPr id="4" name="Picture 3">
          <a:extLst>
            <a:ext uri="{FF2B5EF4-FFF2-40B4-BE49-F238E27FC236}">
              <a16:creationId xmlns:a16="http://schemas.microsoft.com/office/drawing/2014/main" id="{5B748259-0807-4F36-87BE-C74774DD2292}"/>
            </a:ext>
          </a:extLst>
        </xdr:cNvPr>
        <xdr:cNvPicPr>
          <a:picLocks noChangeAspect="1"/>
        </xdr:cNvPicPr>
      </xdr:nvPicPr>
      <xdr:blipFill>
        <a:blip xmlns:r="http://schemas.openxmlformats.org/officeDocument/2006/relationships" r:embed="rId3"/>
        <a:stretch>
          <a:fillRect/>
        </a:stretch>
      </xdr:blipFill>
      <xdr:spPr>
        <a:xfrm>
          <a:off x="7149466" y="2745106"/>
          <a:ext cx="323239" cy="323239"/>
        </a:xfrm>
        <a:prstGeom prst="rect">
          <a:avLst/>
        </a:prstGeom>
      </xdr:spPr>
    </xdr:pic>
    <xdr:clientData/>
  </xdr:twoCellAnchor>
  <xdr:twoCellAnchor editAs="oneCell">
    <xdr:from>
      <xdr:col>12</xdr:col>
      <xdr:colOff>296887</xdr:colOff>
      <xdr:row>14</xdr:row>
      <xdr:rowOff>142876</xdr:rowOff>
    </xdr:from>
    <xdr:to>
      <xdr:col>12</xdr:col>
      <xdr:colOff>593194</xdr:colOff>
      <xdr:row>16</xdr:row>
      <xdr:rowOff>21778</xdr:rowOff>
    </xdr:to>
    <xdr:pic>
      <xdr:nvPicPr>
        <xdr:cNvPr id="5" name="Picture 4">
          <a:extLst>
            <a:ext uri="{FF2B5EF4-FFF2-40B4-BE49-F238E27FC236}">
              <a16:creationId xmlns:a16="http://schemas.microsoft.com/office/drawing/2014/main" id="{D3CEAD07-F7C6-4969-B819-A106F7F8701B}"/>
            </a:ext>
          </a:extLst>
        </xdr:cNvPr>
        <xdr:cNvPicPr>
          <a:picLocks noChangeAspect="1"/>
        </xdr:cNvPicPr>
      </xdr:nvPicPr>
      <xdr:blipFill>
        <a:blip xmlns:r="http://schemas.openxmlformats.org/officeDocument/2006/relationships" r:embed="rId4"/>
        <a:stretch>
          <a:fillRect/>
        </a:stretch>
      </xdr:blipFill>
      <xdr:spPr>
        <a:xfrm>
          <a:off x="8343607" y="2916556"/>
          <a:ext cx="296307" cy="275142"/>
        </a:xfrm>
        <a:prstGeom prst="rect">
          <a:avLst/>
        </a:prstGeom>
      </xdr:spPr>
    </xdr:pic>
    <xdr:clientData/>
  </xdr:twoCellAnchor>
  <xdr:twoCellAnchor editAs="oneCell">
    <xdr:from>
      <xdr:col>6</xdr:col>
      <xdr:colOff>436246</xdr:colOff>
      <xdr:row>14</xdr:row>
      <xdr:rowOff>85726</xdr:rowOff>
    </xdr:from>
    <xdr:to>
      <xdr:col>7</xdr:col>
      <xdr:colOff>183833</xdr:colOff>
      <xdr:row>16</xdr:row>
      <xdr:rowOff>107633</xdr:rowOff>
    </xdr:to>
    <xdr:pic>
      <xdr:nvPicPr>
        <xdr:cNvPr id="6" name="Picture 5">
          <a:extLst>
            <a:ext uri="{FF2B5EF4-FFF2-40B4-BE49-F238E27FC236}">
              <a16:creationId xmlns:a16="http://schemas.microsoft.com/office/drawing/2014/main" id="{089D9342-1C26-4941-B1AD-48EDF58DAA1D}"/>
            </a:ext>
          </a:extLst>
        </xdr:cNvPr>
        <xdr:cNvPicPr>
          <a:picLocks noChangeAspect="1"/>
        </xdr:cNvPicPr>
      </xdr:nvPicPr>
      <xdr:blipFill>
        <a:blip xmlns:r="http://schemas.openxmlformats.org/officeDocument/2006/relationships" r:embed="rId5"/>
        <a:stretch>
          <a:fillRect/>
        </a:stretch>
      </xdr:blipFill>
      <xdr:spPr>
        <a:xfrm>
          <a:off x="4459606" y="2859406"/>
          <a:ext cx="418147" cy="418147"/>
        </a:xfrm>
        <a:prstGeom prst="rect">
          <a:avLst/>
        </a:prstGeom>
      </xdr:spPr>
    </xdr:pic>
    <xdr:clientData/>
  </xdr:twoCellAnchor>
  <xdr:twoCellAnchor editAs="oneCell">
    <xdr:from>
      <xdr:col>1</xdr:col>
      <xdr:colOff>0</xdr:colOff>
      <xdr:row>10</xdr:row>
      <xdr:rowOff>56540</xdr:rowOff>
    </xdr:from>
    <xdr:to>
      <xdr:col>1</xdr:col>
      <xdr:colOff>542926</xdr:colOff>
      <xdr:row>13</xdr:row>
      <xdr:rowOff>5106</xdr:rowOff>
    </xdr:to>
    <xdr:pic>
      <xdr:nvPicPr>
        <xdr:cNvPr id="7" name="Picture 6">
          <a:extLst>
            <a:ext uri="{FF2B5EF4-FFF2-40B4-BE49-F238E27FC236}">
              <a16:creationId xmlns:a16="http://schemas.microsoft.com/office/drawing/2014/main" id="{ADFFDBFF-5422-403D-9959-9E899CA9D3EF}"/>
            </a:ext>
          </a:extLst>
        </xdr:cNvPr>
        <xdr:cNvPicPr>
          <a:picLocks noChangeAspect="1"/>
        </xdr:cNvPicPr>
      </xdr:nvPicPr>
      <xdr:blipFill>
        <a:blip xmlns:r="http://schemas.openxmlformats.org/officeDocument/2006/relationships" r:embed="rId6"/>
        <a:stretch>
          <a:fillRect/>
        </a:stretch>
      </xdr:blipFill>
      <xdr:spPr>
        <a:xfrm>
          <a:off x="670560" y="2037740"/>
          <a:ext cx="542926" cy="542926"/>
        </a:xfrm>
        <a:prstGeom prst="rect">
          <a:avLst/>
        </a:prstGeom>
      </xdr:spPr>
    </xdr:pic>
    <xdr:clientData/>
  </xdr:twoCellAnchor>
  <xdr:twoCellAnchor editAs="oneCell">
    <xdr:from>
      <xdr:col>5</xdr:col>
      <xdr:colOff>144780</xdr:colOff>
      <xdr:row>8</xdr:row>
      <xdr:rowOff>22860</xdr:rowOff>
    </xdr:from>
    <xdr:to>
      <xdr:col>6</xdr:col>
      <xdr:colOff>130835</xdr:colOff>
      <xdr:row>11</xdr:row>
      <xdr:rowOff>85115</xdr:rowOff>
    </xdr:to>
    <xdr:pic>
      <xdr:nvPicPr>
        <xdr:cNvPr id="8" name="Picture 7">
          <a:extLst>
            <a:ext uri="{FF2B5EF4-FFF2-40B4-BE49-F238E27FC236}">
              <a16:creationId xmlns:a16="http://schemas.microsoft.com/office/drawing/2014/main" id="{FB470ACD-6BBB-4755-B414-E548AB6C553B}"/>
            </a:ext>
          </a:extLst>
        </xdr:cNvPr>
        <xdr:cNvPicPr>
          <a:picLocks noChangeAspect="1"/>
        </xdr:cNvPicPr>
      </xdr:nvPicPr>
      <xdr:blipFill>
        <a:blip xmlns:r="http://schemas.openxmlformats.org/officeDocument/2006/relationships" r:embed="rId7"/>
        <a:stretch>
          <a:fillRect/>
        </a:stretch>
      </xdr:blipFill>
      <xdr:spPr>
        <a:xfrm>
          <a:off x="3497580" y="1607820"/>
          <a:ext cx="656615" cy="65661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44823</xdr:colOff>
      <xdr:row>1</xdr:row>
      <xdr:rowOff>125505</xdr:rowOff>
    </xdr:from>
    <xdr:to>
      <xdr:col>22</xdr:col>
      <xdr:colOff>101973</xdr:colOff>
      <xdr:row>40</xdr:row>
      <xdr:rowOff>174825</xdr:rowOff>
    </xdr:to>
    <xdr:grpSp>
      <xdr:nvGrpSpPr>
        <xdr:cNvPr id="2" name="Group 1">
          <a:extLst>
            <a:ext uri="{FF2B5EF4-FFF2-40B4-BE49-F238E27FC236}">
              <a16:creationId xmlns:a16="http://schemas.microsoft.com/office/drawing/2014/main" id="{8BF90FB9-CC29-4059-8EFD-F1D1A7539155}"/>
            </a:ext>
          </a:extLst>
        </xdr:cNvPr>
        <xdr:cNvGrpSpPr/>
      </xdr:nvGrpSpPr>
      <xdr:grpSpPr>
        <a:xfrm>
          <a:off x="1389529" y="322729"/>
          <a:ext cx="13504209" cy="7741037"/>
          <a:chOff x="1752600" y="190500"/>
          <a:chExt cx="13468350" cy="7776000"/>
        </a:xfrm>
      </xdr:grpSpPr>
      <xdr:sp macro="" textlink="">
        <xdr:nvSpPr>
          <xdr:cNvPr id="3" name="Rectangle: Rounded Corners 2">
            <a:extLst>
              <a:ext uri="{FF2B5EF4-FFF2-40B4-BE49-F238E27FC236}">
                <a16:creationId xmlns:a16="http://schemas.microsoft.com/office/drawing/2014/main" id="{FD749A91-7D62-A3F3-6AFB-74C0D9FD4EAD}"/>
              </a:ext>
            </a:extLst>
          </xdr:cNvPr>
          <xdr:cNvSpPr/>
        </xdr:nvSpPr>
        <xdr:spPr>
          <a:xfrm>
            <a:off x="1752600" y="190500"/>
            <a:ext cx="13468350" cy="7776000"/>
          </a:xfrm>
          <a:prstGeom prst="roundRect">
            <a:avLst>
              <a:gd name="adj" fmla="val 1112"/>
            </a:avLst>
          </a:prstGeom>
          <a:solidFill>
            <a:srgbClr val="002060"/>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9A693270-8884-92A9-204A-4DF0601F4A49}"/>
              </a:ext>
            </a:extLst>
          </xdr:cNvPr>
          <xdr:cNvSpPr/>
        </xdr:nvSpPr>
        <xdr:spPr>
          <a:xfrm>
            <a:off x="1852449" y="270899"/>
            <a:ext cx="769160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3FD751-3D7F-C889-D90E-125AD9A9E49A}"/>
              </a:ext>
            </a:extLst>
          </xdr:cNvPr>
          <xdr:cNvSpPr/>
        </xdr:nvSpPr>
        <xdr:spPr>
          <a:xfrm>
            <a:off x="9658349" y="270899"/>
            <a:ext cx="5467351" cy="834001"/>
          </a:xfrm>
          <a:prstGeom prst="roundRect">
            <a:avLst>
              <a:gd name="adj" fmla="val 10000"/>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45F1653E-D6F5-0924-724C-6D2D4F604869}"/>
              </a:ext>
            </a:extLst>
          </xdr:cNvPr>
          <xdr:cNvSpPr/>
        </xdr:nvSpPr>
        <xdr:spPr>
          <a:xfrm>
            <a:off x="5819774" y="2304895"/>
            <a:ext cx="481965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D21BBA3A-24BB-AFE3-920F-B4B6E6B94123}"/>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5286510-D71C-4986-F626-6AD81A3C8893}"/>
                </a:ext>
              </a:extLst>
            </xdr:cNvPr>
            <xdr:cNvSpPr/>
          </xdr:nvSpPr>
          <xdr:spPr>
            <a:xfrm>
              <a:off x="1846116"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C35CE4F5-C072-E636-E441-56E58A6D0140}"/>
                </a:ext>
              </a:extLst>
            </xdr:cNvPr>
            <xdr:cNvSpPr/>
          </xdr:nvSpPr>
          <xdr:spPr>
            <a:xfrm>
              <a:off x="4546454"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1456B280-C922-45D3-CE8D-9A440284637A}"/>
                </a:ext>
              </a:extLst>
            </xdr:cNvPr>
            <xdr:cNvSpPr/>
          </xdr:nvSpPr>
          <xdr:spPr>
            <a:xfrm>
              <a:off x="7246792"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987DFCD0-0CAB-B91D-459A-E26C699734D0}"/>
                </a:ext>
              </a:extLst>
            </xdr:cNvPr>
            <xdr:cNvSpPr/>
          </xdr:nvSpPr>
          <xdr:spPr>
            <a:xfrm>
              <a:off x="9947130"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5D1272B9-0878-F8D3-4199-14F69821207D}"/>
                </a:ext>
              </a:extLst>
            </xdr:cNvPr>
            <xdr:cNvSpPr/>
          </xdr:nvSpPr>
          <xdr:spPr>
            <a:xfrm>
              <a:off x="12647467" y="1215714"/>
              <a:ext cx="2602058" cy="998848"/>
            </a:xfrm>
            <a:prstGeom prst="roundRect">
              <a:avLst>
                <a:gd name="adj" fmla="val 6048"/>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6829A3E7-5D5C-26E4-2AC3-56E3C85EA5F7}"/>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7F6D7417-3EA6-4085-8D22-866AD8716E66}"/>
                </a:ext>
              </a:extLst>
            </xdr:cNvPr>
            <xdr:cNvSpPr/>
          </xdr:nvSpPr>
          <xdr:spPr>
            <a:xfrm>
              <a:off x="1847145" y="2304895"/>
              <a:ext cx="3867930"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9DCE2EC2-0D0E-3341-BDFB-50C7CF47A536}"/>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F172B8AE-F2C7-FC1D-226E-49352A3AD121}"/>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F541BDB6-0F15-AC31-8F68-DDFDE21C5C48}"/>
              </a:ext>
            </a:extLst>
          </xdr:cNvPr>
          <xdr:cNvSpPr/>
        </xdr:nvSpPr>
        <xdr:spPr>
          <a:xfrm>
            <a:off x="10744199" y="2304895"/>
            <a:ext cx="4381501" cy="277287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75C26744-B5A9-47AA-0C33-5F9065BA410C}"/>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F6F2A284-3AEA-DA84-62C6-A04F179CE5ED}"/>
              </a:ext>
            </a:extLst>
          </xdr:cNvPr>
          <xdr:cNvSpPr/>
        </xdr:nvSpPr>
        <xdr:spPr>
          <a:xfrm>
            <a:off x="1847145" y="2314575"/>
            <a:ext cx="3867930" cy="2754668"/>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9BC194A2-3386-F72B-AE2E-B1235C4F6CDC}"/>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F8DDEA1-47D7-BE5B-E416-82F5A8A98F91}"/>
              </a:ext>
            </a:extLst>
          </xdr:cNvPr>
          <xdr:cNvSpPr/>
        </xdr:nvSpPr>
        <xdr:spPr>
          <a:xfrm>
            <a:off x="5809545" y="5162550"/>
            <a:ext cx="3564000" cy="2709509"/>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31BCC615-83AB-C766-8A6A-214BD22DB6C9}"/>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A5CC493-0171-265A-5145-EFFAD86C7592}"/>
              </a:ext>
            </a:extLst>
          </xdr:cNvPr>
          <xdr:cNvSpPr/>
        </xdr:nvSpPr>
        <xdr:spPr>
          <a:xfrm>
            <a:off x="9467145" y="5162550"/>
            <a:ext cx="2844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E4783F95-06CE-C0C5-3253-9A7B1700022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E108CA-04B7-E740-EA02-1FCC549BBFC1}"/>
              </a:ext>
            </a:extLst>
          </xdr:cNvPr>
          <xdr:cNvSpPr/>
        </xdr:nvSpPr>
        <xdr:spPr>
          <a:xfrm>
            <a:off x="12419895" y="5162550"/>
            <a:ext cx="2700000" cy="2700000"/>
          </a:xfrm>
          <a:prstGeom prst="roundRect">
            <a:avLst>
              <a:gd name="adj" fmla="val 3303"/>
            </a:avLst>
          </a:prstGeom>
          <a:solidFill>
            <a:schemeClr val="accent2">
              <a:lumMod val="40000"/>
              <a:lumOff val="6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91B8C24F-B14D-9D93-8E30-677372C2BC08}"/>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286871</xdr:colOff>
      <xdr:row>1</xdr:row>
      <xdr:rowOff>98611</xdr:rowOff>
    </xdr:from>
    <xdr:to>
      <xdr:col>22</xdr:col>
      <xdr:colOff>379880</xdr:colOff>
      <xdr:row>40</xdr:row>
      <xdr:rowOff>112969</xdr:rowOff>
    </xdr:to>
    <xdr:grpSp>
      <xdr:nvGrpSpPr>
        <xdr:cNvPr id="2" name="Group 1">
          <a:extLst>
            <a:ext uri="{FF2B5EF4-FFF2-40B4-BE49-F238E27FC236}">
              <a16:creationId xmlns:a16="http://schemas.microsoft.com/office/drawing/2014/main" id="{71BA81EA-B9D6-43F2-9D97-F24013EBAC89}"/>
            </a:ext>
          </a:extLst>
        </xdr:cNvPr>
        <xdr:cNvGrpSpPr/>
      </xdr:nvGrpSpPr>
      <xdr:grpSpPr>
        <a:xfrm>
          <a:off x="1631577" y="295835"/>
          <a:ext cx="13540068" cy="7706075"/>
          <a:chOff x="1752600" y="190500"/>
          <a:chExt cx="13468350" cy="7776000"/>
        </a:xfrm>
      </xdr:grpSpPr>
      <xdr:sp macro="" textlink="">
        <xdr:nvSpPr>
          <xdr:cNvPr id="3" name="Rectangle: Rounded Corners 2">
            <a:extLst>
              <a:ext uri="{FF2B5EF4-FFF2-40B4-BE49-F238E27FC236}">
                <a16:creationId xmlns:a16="http://schemas.microsoft.com/office/drawing/2014/main" id="{04DF85B3-6EE2-0EF5-D9FD-358010247555}"/>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BE48065-E889-A041-CEEC-7A4C47D52217}"/>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1A5AD21-81F7-F707-F101-A81FF46B1350}"/>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627E1D33-C86F-4A55-F1FD-01DCBF5156D5}"/>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A858214A-1544-7366-ED12-A0F94AC129D9}"/>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1DB0E0E2-EA2D-5D6C-20F1-12E1FD635C4B}"/>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79057486-FEB8-18C4-BC2D-150017182C36}"/>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39CD2DE8-5C91-E5FC-5CB3-BFC8EC4C7F31}"/>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6FD331DA-1F0A-C456-86D4-B645498F08A6}"/>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E4A8257-569A-2C76-9846-AD8F43179748}"/>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D0268B41-06B2-4D41-3261-4B3B080CC5ED}"/>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FEB3A11A-8832-23E9-5209-8C53383ABC5F}"/>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29A2973C-C0D6-8F63-5038-777A7BCA9480}"/>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9CAEA69A-F00E-65BE-E792-4BAAA60DD1C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F599A18-CE29-5DC7-2203-6CF376D596A9}"/>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8FFF4A86-D885-D872-BC9D-4298EDA2F1F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BD30BF6C-8122-769F-8896-B91E1D8A6D02}"/>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B96EA871-2EC6-8699-AB59-CBC98C601DC9}"/>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829667DB-01B5-899D-70B5-EA46CB06B4DE}"/>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7E71B5DC-FEDD-4659-4E4C-29EA9F74AC9F}"/>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4B25A569-B940-235D-DCC2-B9E13C781CD9}"/>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8E913EC1-5668-DF3F-DD42-51E3FE1DCC0A}"/>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512BDFBE-9089-BB55-9DA8-618067517F5E}"/>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464EEFE9-B1DD-E76E-4F4F-821262D601C0}"/>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304800</xdr:colOff>
      <xdr:row>0</xdr:row>
      <xdr:rowOff>0</xdr:rowOff>
    </xdr:from>
    <xdr:to>
      <xdr:col>21</xdr:col>
      <xdr:colOff>433668</xdr:colOff>
      <xdr:row>38</xdr:row>
      <xdr:rowOff>177515</xdr:rowOff>
    </xdr:to>
    <xdr:grpSp>
      <xdr:nvGrpSpPr>
        <xdr:cNvPr id="2" name="Group 1">
          <a:extLst>
            <a:ext uri="{FF2B5EF4-FFF2-40B4-BE49-F238E27FC236}">
              <a16:creationId xmlns:a16="http://schemas.microsoft.com/office/drawing/2014/main" id="{7D132E48-34D6-44B0-AE6A-C0377AC131DE}"/>
            </a:ext>
          </a:extLst>
        </xdr:cNvPr>
        <xdr:cNvGrpSpPr/>
      </xdr:nvGrpSpPr>
      <xdr:grpSpPr>
        <a:xfrm>
          <a:off x="977153" y="0"/>
          <a:ext cx="13575927" cy="7672009"/>
          <a:chOff x="1752600" y="190500"/>
          <a:chExt cx="13468350" cy="7776000"/>
        </a:xfrm>
      </xdr:grpSpPr>
      <xdr:sp macro="" textlink="">
        <xdr:nvSpPr>
          <xdr:cNvPr id="3" name="Rectangle: Rounded Corners 2">
            <a:extLst>
              <a:ext uri="{FF2B5EF4-FFF2-40B4-BE49-F238E27FC236}">
                <a16:creationId xmlns:a16="http://schemas.microsoft.com/office/drawing/2014/main" id="{AF893D47-E6D0-0B63-47C0-90782F41156F}"/>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D460E3CA-9A58-C0CE-F3DB-F6F55E7D1943}"/>
              </a:ext>
            </a:extLst>
          </xdr:cNvPr>
          <xdr:cNvSpPr/>
        </xdr:nvSpPr>
        <xdr:spPr>
          <a:xfrm>
            <a:off x="1852449" y="270899"/>
            <a:ext cx="769160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7B45172C-B976-0DCE-94FC-60386E4D00B0}"/>
              </a:ext>
            </a:extLst>
          </xdr:cNvPr>
          <xdr:cNvSpPr/>
        </xdr:nvSpPr>
        <xdr:spPr>
          <a:xfrm>
            <a:off x="9658349" y="270899"/>
            <a:ext cx="5467351" cy="834001"/>
          </a:xfrm>
          <a:prstGeom prst="roundRect">
            <a:avLst>
              <a:gd name="adj" fmla="val 10000"/>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77D37347-2164-5BF5-8F35-653B613EA5AD}"/>
              </a:ext>
            </a:extLst>
          </xdr:cNvPr>
          <xdr:cNvSpPr/>
        </xdr:nvSpPr>
        <xdr:spPr>
          <a:xfrm>
            <a:off x="5819774" y="2304895"/>
            <a:ext cx="481965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29D12A03-079C-6283-1E94-DBDD42B8AFC0}"/>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CD528A7B-9617-AB4E-86E2-8291270F7848}"/>
                </a:ext>
              </a:extLst>
            </xdr:cNvPr>
            <xdr:cNvSpPr/>
          </xdr:nvSpPr>
          <xdr:spPr>
            <a:xfrm>
              <a:off x="1846116"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F46C9C91-71AF-66F3-57CF-5997716BE98C}"/>
                </a:ext>
              </a:extLst>
            </xdr:cNvPr>
            <xdr:cNvSpPr/>
          </xdr:nvSpPr>
          <xdr:spPr>
            <a:xfrm>
              <a:off x="4546454"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9CD901E5-4B60-DBB1-951C-CA52709C2D83}"/>
                </a:ext>
              </a:extLst>
            </xdr:cNvPr>
            <xdr:cNvSpPr/>
          </xdr:nvSpPr>
          <xdr:spPr>
            <a:xfrm>
              <a:off x="7246792"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2E265ADD-3966-3146-5C65-9A23C2032E8D}"/>
                </a:ext>
              </a:extLst>
            </xdr:cNvPr>
            <xdr:cNvSpPr/>
          </xdr:nvSpPr>
          <xdr:spPr>
            <a:xfrm>
              <a:off x="9947130"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A17D5170-8B19-40D5-3E23-C62BA2A71475}"/>
                </a:ext>
              </a:extLst>
            </xdr:cNvPr>
            <xdr:cNvSpPr/>
          </xdr:nvSpPr>
          <xdr:spPr>
            <a:xfrm>
              <a:off x="12647467" y="1215714"/>
              <a:ext cx="2602058" cy="998848"/>
            </a:xfrm>
            <a:prstGeom prst="roundRect">
              <a:avLst>
                <a:gd name="adj" fmla="val 6048"/>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9429E22F-1A3B-1EBA-E25D-9F77E3907984}"/>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6FDD4AB-B97B-CA2A-9738-7BBD87005A23}"/>
                </a:ext>
              </a:extLst>
            </xdr:cNvPr>
            <xdr:cNvSpPr/>
          </xdr:nvSpPr>
          <xdr:spPr>
            <a:xfrm>
              <a:off x="1847145" y="2304895"/>
              <a:ext cx="3867930"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1A72147C-D78E-6917-222D-F2B98A57F1CE}"/>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65E172FE-9064-5388-B78F-8B79D194603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9C31B23F-D72B-DFA1-F232-7056EA5159BF}"/>
              </a:ext>
            </a:extLst>
          </xdr:cNvPr>
          <xdr:cNvSpPr/>
        </xdr:nvSpPr>
        <xdr:spPr>
          <a:xfrm>
            <a:off x="10744199" y="2304895"/>
            <a:ext cx="4381501" cy="277287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FDE904DF-3DB9-3E6A-B570-D1F1649BE3B6}"/>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3CC074CC-39F7-B9C6-C8DD-079B5A3D545E}"/>
              </a:ext>
            </a:extLst>
          </xdr:cNvPr>
          <xdr:cNvSpPr/>
        </xdr:nvSpPr>
        <xdr:spPr>
          <a:xfrm>
            <a:off x="1847145" y="2314575"/>
            <a:ext cx="3867930" cy="2754668"/>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E99657E2-B82E-75AC-7007-82153D912B03}"/>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5DC91AF2-0BE9-7149-1C95-B1C44BB21CD6}"/>
              </a:ext>
            </a:extLst>
          </xdr:cNvPr>
          <xdr:cNvSpPr/>
        </xdr:nvSpPr>
        <xdr:spPr>
          <a:xfrm>
            <a:off x="5809545" y="5162550"/>
            <a:ext cx="3564000" cy="2709509"/>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1E136DAE-284C-917E-5C26-883F925F64F7}"/>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D3E222C9-61AA-5722-1EA2-D075920B6BDE}"/>
              </a:ext>
            </a:extLst>
          </xdr:cNvPr>
          <xdr:cNvSpPr/>
        </xdr:nvSpPr>
        <xdr:spPr>
          <a:xfrm>
            <a:off x="9467145" y="5162550"/>
            <a:ext cx="2844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7DABA284-304A-CD4C-AE01-43EB707A1D37}"/>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387B9CE3-A3F8-0C1A-7BBD-37769B04EB6A}"/>
              </a:ext>
            </a:extLst>
          </xdr:cNvPr>
          <xdr:cNvSpPr/>
        </xdr:nvSpPr>
        <xdr:spPr>
          <a:xfrm>
            <a:off x="12419895" y="5162550"/>
            <a:ext cx="2700000" cy="2700000"/>
          </a:xfrm>
          <a:prstGeom prst="roundRect">
            <a:avLst>
              <a:gd name="adj" fmla="val 3303"/>
            </a:avLst>
          </a:prstGeom>
          <a:solidFill>
            <a:schemeClr val="accent1">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14557E6F-96B5-5BD4-49B1-FD3CE21B2E3D}"/>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xdr:from>
      <xdr:col>1</xdr:col>
      <xdr:colOff>430306</xdr:colOff>
      <xdr:row>2</xdr:row>
      <xdr:rowOff>134472</xdr:rowOff>
    </xdr:from>
    <xdr:to>
      <xdr:col>21</xdr:col>
      <xdr:colOff>595033</xdr:colOff>
      <xdr:row>41</xdr:row>
      <xdr:rowOff>80697</xdr:rowOff>
    </xdr:to>
    <xdr:grpSp>
      <xdr:nvGrpSpPr>
        <xdr:cNvPr id="2" name="Group 1">
          <a:extLst>
            <a:ext uri="{FF2B5EF4-FFF2-40B4-BE49-F238E27FC236}">
              <a16:creationId xmlns:a16="http://schemas.microsoft.com/office/drawing/2014/main" id="{345AA7B4-5882-484E-B64B-5AD886548252}"/>
            </a:ext>
          </a:extLst>
        </xdr:cNvPr>
        <xdr:cNvGrpSpPr/>
      </xdr:nvGrpSpPr>
      <xdr:grpSpPr>
        <a:xfrm>
          <a:off x="1102659" y="528919"/>
          <a:ext cx="13611786" cy="7637943"/>
          <a:chOff x="1752600" y="190500"/>
          <a:chExt cx="13468350" cy="7776000"/>
        </a:xfrm>
      </xdr:grpSpPr>
      <xdr:sp macro="" textlink="">
        <xdr:nvSpPr>
          <xdr:cNvPr id="3" name="Rectangle: Rounded Corners 2">
            <a:extLst>
              <a:ext uri="{FF2B5EF4-FFF2-40B4-BE49-F238E27FC236}">
                <a16:creationId xmlns:a16="http://schemas.microsoft.com/office/drawing/2014/main" id="{5F066C00-75C8-FC81-B6D4-D24ADCB99159}"/>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58A372FA-7C57-D311-B8FB-00A548F62BBD}"/>
              </a:ext>
            </a:extLst>
          </xdr:cNvPr>
          <xdr:cNvSpPr/>
        </xdr:nvSpPr>
        <xdr:spPr>
          <a:xfrm>
            <a:off x="1852449" y="270899"/>
            <a:ext cx="769160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A00BAF2D-696D-EA76-B2B3-D3D1B7196CB0}"/>
              </a:ext>
            </a:extLst>
          </xdr:cNvPr>
          <xdr:cNvSpPr/>
        </xdr:nvSpPr>
        <xdr:spPr>
          <a:xfrm>
            <a:off x="9658349" y="270899"/>
            <a:ext cx="5467351" cy="834001"/>
          </a:xfrm>
          <a:prstGeom prst="roundRect">
            <a:avLst>
              <a:gd name="adj" fmla="val 10000"/>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D20EA581-AADC-86E0-5D2C-529A1A52B5E3}"/>
              </a:ext>
            </a:extLst>
          </xdr:cNvPr>
          <xdr:cNvSpPr/>
        </xdr:nvSpPr>
        <xdr:spPr>
          <a:xfrm>
            <a:off x="5819774" y="2304895"/>
            <a:ext cx="481965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7D63FB06-9E89-CA9F-5E6C-068757E8EB6E}"/>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E6FA0431-7B62-EF33-DB76-AB71BA3DD15F}"/>
                </a:ext>
              </a:extLst>
            </xdr:cNvPr>
            <xdr:cNvSpPr/>
          </xdr:nvSpPr>
          <xdr:spPr>
            <a:xfrm>
              <a:off x="1846116"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ED064606-68B3-8694-0F87-BE469D60179C}"/>
                </a:ext>
              </a:extLst>
            </xdr:cNvPr>
            <xdr:cNvSpPr/>
          </xdr:nvSpPr>
          <xdr:spPr>
            <a:xfrm>
              <a:off x="4546454"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CDE12583-E3B3-80C9-43DE-EA31391ED18E}"/>
                </a:ext>
              </a:extLst>
            </xdr:cNvPr>
            <xdr:cNvSpPr/>
          </xdr:nvSpPr>
          <xdr:spPr>
            <a:xfrm>
              <a:off x="7246792"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E09C4E17-FF58-9C3D-0C55-4158F09B3349}"/>
                </a:ext>
              </a:extLst>
            </xdr:cNvPr>
            <xdr:cNvSpPr/>
          </xdr:nvSpPr>
          <xdr:spPr>
            <a:xfrm>
              <a:off x="9947130"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E343BA08-4352-A9F3-718A-BDF6CA894731}"/>
                </a:ext>
              </a:extLst>
            </xdr:cNvPr>
            <xdr:cNvSpPr/>
          </xdr:nvSpPr>
          <xdr:spPr>
            <a:xfrm>
              <a:off x="12647467" y="1215714"/>
              <a:ext cx="2602058" cy="998848"/>
            </a:xfrm>
            <a:prstGeom prst="roundRect">
              <a:avLst>
                <a:gd name="adj" fmla="val 6048"/>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A3C7E1E9-312F-DAF7-9F41-B9772E8E0886}"/>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05EE2B4A-52AE-335B-C9EE-F905C379FF8A}"/>
                </a:ext>
              </a:extLst>
            </xdr:cNvPr>
            <xdr:cNvSpPr/>
          </xdr:nvSpPr>
          <xdr:spPr>
            <a:xfrm>
              <a:off x="1847145" y="2304895"/>
              <a:ext cx="3867930"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7BF291B0-B9C2-460A-88FC-8011425703F9}"/>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494DD3D5-EAA4-3FB9-9B0D-B3407AB79EC0}"/>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D260FD59-050F-1E66-3A87-2130DE0A9EAD}"/>
              </a:ext>
            </a:extLst>
          </xdr:cNvPr>
          <xdr:cNvSpPr/>
        </xdr:nvSpPr>
        <xdr:spPr>
          <a:xfrm>
            <a:off x="10744199" y="2304895"/>
            <a:ext cx="4381501" cy="277287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59418708-2A6A-B509-6C7B-082C7900AE7F}"/>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7087576F-0094-4F1F-981E-42140DAFEB01}"/>
              </a:ext>
            </a:extLst>
          </xdr:cNvPr>
          <xdr:cNvSpPr/>
        </xdr:nvSpPr>
        <xdr:spPr>
          <a:xfrm>
            <a:off x="1847145" y="2314575"/>
            <a:ext cx="3867930" cy="2754668"/>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FD537083-C628-04AB-14AD-1C8D4D0E7898}"/>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AC5EE083-E722-0266-5BED-D1EDAA9E5EB5}"/>
              </a:ext>
            </a:extLst>
          </xdr:cNvPr>
          <xdr:cNvSpPr/>
        </xdr:nvSpPr>
        <xdr:spPr>
          <a:xfrm>
            <a:off x="5809545" y="5162550"/>
            <a:ext cx="3564000" cy="2709509"/>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495CB7AD-5090-0F1F-0503-504ED4E74FAC}"/>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F0DC053C-0A24-65DB-8D52-D900AC79C336}"/>
              </a:ext>
            </a:extLst>
          </xdr:cNvPr>
          <xdr:cNvSpPr/>
        </xdr:nvSpPr>
        <xdr:spPr>
          <a:xfrm>
            <a:off x="9467145" y="5162550"/>
            <a:ext cx="2844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9C44E314-72EE-0D54-1D55-FAE94EDE5D3F}"/>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B098EF69-0F0F-B7B1-FEA4-4ECBE79CAC4E}"/>
              </a:ext>
            </a:extLst>
          </xdr:cNvPr>
          <xdr:cNvSpPr/>
        </xdr:nvSpPr>
        <xdr:spPr>
          <a:xfrm>
            <a:off x="12419895" y="5162550"/>
            <a:ext cx="2700000" cy="2700000"/>
          </a:xfrm>
          <a:prstGeom prst="roundRect">
            <a:avLst>
              <a:gd name="adj" fmla="val 3303"/>
            </a:avLst>
          </a:prstGeom>
          <a:solidFill>
            <a:schemeClr val="accent6">
              <a:lumMod val="20000"/>
              <a:lumOff val="80000"/>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09CCBB15-40E8-85CB-A5C5-CE5F2ED49AB9}"/>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THAKUR" refreshedDate="46119.926049074071" createdVersion="8" refreshedVersion="8" minRefreshableVersion="3" recordCount="1470" xr:uid="{C13B1C94-179E-C34C-AAFB-5E95AAAD35F3}">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5389525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A55E13-408F-5C47-8647-8AA6121EB61A}"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48CA60-7163-364C-B9A1-6C702651FD5A}"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78E8E7-0E06-C142-98B4-800B3CD0D560}" name="Employee b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Number"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FDA992-5FCE-214C-A0D9-A9164BA94FD3}" name="Education-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B1A16D-79DE-1346-AB5C-E7990ECA177C}"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E10F38-9E0E-224B-ADE1-7CCD16660319}" name="Department-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E7CA10-E29A-CF47-A46B-B12D56D6D53D}" name="Attrition By Age-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4"/>
    </i>
    <i>
      <x v="3"/>
    </i>
    <i t="grand">
      <x/>
    </i>
  </rowItems>
  <colItems count="1">
    <i/>
  </colItems>
  <dataFields count="1">
    <dataField name="Count of CF_attrition count" fld="17" subtotal="count"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62B818-37CF-B84D-AEA1-B20486F322A6}" name="Attrition By Marriage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CF_attrition count"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8701805-D1C9-834A-92D7-EFC3FD14B3EE}" sourceName="Gender">
  <pivotTables>
    <pivotTable tabId="10" name="Employee by Gender"/>
    <pivotTable tabId="15" name="Attrition By Age-Group"/>
    <pivotTable tabId="13" name="Attrition By Job Role"/>
    <pivotTable tabId="16" name="Attrition By Marriage Status"/>
    <pivotTable tabId="14" name="Department-wise Attrition"/>
    <pivotTable tabId="12" name="Education-wise Attrition"/>
    <pivotTable tabId="7" name="KPI"/>
    <pivotTable tabId="9" name="Rating"/>
  </pivotTables>
  <data>
    <tabular pivotCacheId="15389525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EFB230-4892-E648-9525-5500141971D3}" sourceName="Education">
  <pivotTables>
    <pivotTable tabId="12" name="Education-wise Attrition"/>
  </pivotTables>
  <data>
    <tabular pivotCacheId="1538952553">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69AB470-D3AA-B941-9163-64620E3B5881}" sourceName="Marital Status">
  <pivotTables>
    <pivotTable tabId="16" name="Attrition By Marriage Status"/>
  </pivotTables>
  <data>
    <tabular pivotCacheId="1538952553">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618E30-7BD6-D442-B07D-462FC4E7E95C}" sourceName="Department">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sortOrder="descending">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CC3F18DD-573E-684D-ABFD-862FCF4C2B44}" sourceName="Education Field">
  <pivotTables>
    <pivotTable tabId="16" name="Attrition By Marriage Status"/>
    <pivotTable tabId="15" name="Attrition By Age-Group"/>
    <pivotTable tabId="13" name="Attrition By Job Role"/>
    <pivotTable tabId="14" name="Department-wise Attrition"/>
    <pivotTable tabId="12" name="Education-wise Attrition"/>
    <pivotTable tabId="10" name="Employee by Gender"/>
    <pivotTable tabId="7" name="KPI"/>
    <pivotTable tabId="9" name="Rating"/>
  </pivotTables>
  <data>
    <tabular pivotCacheId="1538952553">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4" xr10:uid="{830FDFF2-5155-4209-89DE-406F4C49EA22}" cache="Slicer_Gender2" caption="Gender" style="SlicerStyleLight6" rowHeight="251883"/>
  <slicer name="Department 2" xr10:uid="{B55695C3-24EA-4A7C-9610-556F1975A673}" cache="Slicer_Department" caption="Department" style="SlicerStyleLight6" rowHeight="251883"/>
  <slicer name="Education Field 4" xr10:uid="{BAA947F8-81A3-4BAC-A9F4-F1F84C6599C2}" cache="Slicer_Education_Field2" caption="Education Field" style="SlicerStyleLight6"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5EFE6EB-0D0A-7F49-9C42-7A61091680C6}" cache="Slicer_Gender2" caption="Gender"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A6EA602-9094-F94B-BF7F-948DFD8804F7}" cache="Slicer_Gender2" caption="Gender" rowHeight="251883"/>
  <slicer name="Education Field" xr10:uid="{A16B6899-6D0D-D244-A4F2-BA5BCA2ABD57}" cache="Slicer_Education_Field2" caption="Education Field"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BDE34C9A-7180-F54B-B719-6924C35B8E67}" cache="Slicer_Gender2" caption="Gender" rowHeight="251883"/>
  <slicer name="Education Field 1" xr10:uid="{9E536ABD-FFC3-4248-BE70-70BBAFBF2647}" cache="Slicer_Education_Field2" caption="Education Field"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CBE90AB0-EBB8-234E-B8CF-2737C4203C3D}" cache="Slicer_Education" caption="Education" rowHeight="251883"/>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DB8D35B-4C96-E243-AFAE-ABBA4FE28611}" cache="Slicer_Marital_Status" caption="Marital Status" rowHeight="251883"/>
  <slicer name="Department" xr10:uid="{0C04C096-2994-5147-B9BA-91385FADF1DB}" cache="Slicer_Department" caption="Department" rowHeight="251883"/>
  <slicer name="Education Field 2" xr10:uid="{39A6E8F2-6B3A-DB4E-924E-FDE2CD6C58CD}" cache="Slicer_Education_Field2" caption="Education Field" rowHeight="251883"/>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55ECBB04-188A-5548-9368-030BC8F6C038}" cache="Slicer_Gender2" caption="Gender" columnCount="2" rowHeight="251883"/>
  <slicer name="Department 1" xr10:uid="{4A847CF6-F13A-7443-BC6C-EE8307477491}" cache="Slicer_Department" caption="Department" rowHeight="251883"/>
  <slicer name="Education Field 3" xr10:uid="{950209E2-E17A-E04D-AF21-243C76BB033B}" cache="Slicer_Education_Field2" caption="Education Field"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FE3855-D866-4168-8DBC-0381D676C609}" name="Table1" displayName="Table1" ref="A1:AR1471" totalsRowShown="0">
  <autoFilter ref="A1:AR1471" xr:uid="{6BFE3855-D866-4168-8DBC-0381D676C609}"/>
  <tableColumns count="44">
    <tableColumn id="1" xr3:uid="{7414F919-071A-4442-B678-9ACB1376C457}" name="Attrition"/>
    <tableColumn id="2" xr3:uid="{5953CD87-3380-43DA-9D09-BFE193A58CC4}" name="Business Travel"/>
    <tableColumn id="3" xr3:uid="{C7CFF9F2-E34C-46C6-86E4-495B44595341}" name="CF_age band"/>
    <tableColumn id="4" xr3:uid="{F230CF63-659C-4F2B-8F8A-B72637F82B04}" name="CF_attrition label"/>
    <tableColumn id="5" xr3:uid="{4882808A-95D9-4BCF-AD1F-F1E26BB9C134}" name="Department"/>
    <tableColumn id="6" xr3:uid="{B7F26A10-A6E4-4ABD-94D5-4D3D554D927E}" name="Education Field"/>
    <tableColumn id="7" xr3:uid="{1B9743F0-B6E2-45EE-9AFA-A8FE8240A194}" name="emp no"/>
    <tableColumn id="8" xr3:uid="{7FA286D9-3839-4940-A854-0C4A26577217}" name="Employee Number"/>
    <tableColumn id="9" xr3:uid="{C86033A1-6381-4E0E-A0C5-00F2413C1FC5}" name="Gender"/>
    <tableColumn id="10" xr3:uid="{91A16AB1-8523-4F71-93E6-0228057A1395}" name="Job Role"/>
    <tableColumn id="11" xr3:uid="{C2C33F9F-F2FE-4176-9A9A-5190D4944E60}" name="Marital Status"/>
    <tableColumn id="12" xr3:uid="{9CA4BD17-7927-48AE-9A01-29EB0B6D39A3}" name="Over Time"/>
    <tableColumn id="13" xr3:uid="{EB52BCBA-7743-43CD-8A14-7B6A7E35DA18}" name="Over18"/>
    <tableColumn id="14" xr3:uid="{770A3C7F-14B2-4AC7-BBEE-A170A5612063}" name="Training Times Last Year"/>
    <tableColumn id="15" xr3:uid="{7AD1059A-53F5-4C47-B595-C870A84EFC0D}" name="-2"/>
    <tableColumn id="16" xr3:uid="{43192443-7E4C-4761-8DFD-68EF1A7FB48F}" name="0"/>
    <tableColumn id="17" xr3:uid="{FE2C89A9-8C58-4392-A24D-80457AE6F3BA}" name="Age"/>
    <tableColumn id="18" xr3:uid="{DC496DA2-AEE1-4258-AA57-5A9C0FB4878E}" name="CF_attrition count"/>
    <tableColumn id="19" xr3:uid="{F4359AB8-DEC8-410E-A850-4871396E07C3}" name="CF_attrition counts"/>
    <tableColumn id="20" xr3:uid="{F35F1FF4-1B4F-4A97-9DDC-1ADF450049B0}" name="CF_attrition rate"/>
    <tableColumn id="21" xr3:uid="{FC577494-0CEB-4475-9C80-78B5B0D795C8}" name="CF_current Employee"/>
    <tableColumn id="22" xr3:uid="{6D316D59-0F08-4E57-9FB0-4D7440B091A5}" name="Daily Rate"/>
    <tableColumn id="23" xr3:uid="{FAB97E6D-7F70-4A45-B6D9-88F190579B49}" name="Distance From Home"/>
    <tableColumn id="24" xr3:uid="{DAA3DF61-53CA-4CF9-BD9A-EC2DC0AF5C69}" name="Education"/>
    <tableColumn id="25" xr3:uid="{6CDCE152-AACB-41F3-9A9B-BF070303F32B}" name="Employee Count"/>
    <tableColumn id="26" xr3:uid="{3A7EBCE9-B730-4F17-BB8B-5812CBD8886C}" name="Environment Satisfaction"/>
    <tableColumn id="27" xr3:uid="{5DA74E66-B12E-4224-94FB-D2AA29EDB55B}" name="Hourly Rate"/>
    <tableColumn id="28" xr3:uid="{4EED2C11-4AE1-4FEC-96CC-70F48FC012F1}" name="Job Involvement"/>
    <tableColumn id="29" xr3:uid="{0D334A4A-06BA-4AFC-B466-6C0866525C88}" name="Job Level"/>
    <tableColumn id="30" xr3:uid="{3025CFD0-6B2F-45A1-B916-BFC885C7ED87}" name="Job Satisfaction"/>
    <tableColumn id="31" xr3:uid="{BDDF689D-A683-4AF5-8F12-F2EFAC0810CC}" name="Monthly Income"/>
    <tableColumn id="32" xr3:uid="{095236FA-4B2B-4002-B4CA-572A0515F8BE}" name="Monthly Rate"/>
    <tableColumn id="33" xr3:uid="{50312A8D-36F4-4915-90D3-64757F1C2552}" name="Num Companies Worked"/>
    <tableColumn id="34" xr3:uid="{771F133C-51BA-4E69-A3AD-265212BF94C8}" name="Percent Salary Hike"/>
    <tableColumn id="35" xr3:uid="{92978DE2-78AE-4BB6-91FC-225109115100}" name="Performance Rating"/>
    <tableColumn id="36" xr3:uid="{E180941D-6509-4020-A871-D5D766143460}" name="Relationship Satisfaction"/>
    <tableColumn id="37" xr3:uid="{32B19403-51B2-434D-9BCC-53992A23DAFA}" name="Standard Hours"/>
    <tableColumn id="38" xr3:uid="{97DADAD2-BF3B-484E-9794-F5701028109A}" name="Stock Option Level"/>
    <tableColumn id="39" xr3:uid="{71CD98AE-8B0F-49B3-95E6-9EDCAF6804EF}" name="Total Working Years"/>
    <tableColumn id="40" xr3:uid="{E5E3C31C-BA41-4D45-B80D-13045427EB46}" name="Work Life Balance"/>
    <tableColumn id="41" xr3:uid="{27937D56-C95A-48A0-9815-32784272BC44}" name="Years At Company"/>
    <tableColumn id="42" xr3:uid="{86D151A6-562E-4466-929F-E5FB3F0114F4}" name="Years In Current Role"/>
    <tableColumn id="43" xr3:uid="{36F42600-ABDA-41CE-A97B-EDEFBB40DBE6}" name="Years Since Last Promotion"/>
    <tableColumn id="44" xr3:uid="{C6AA037A-E0EF-40CB-8B79-922476514633}"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13288-E1E9-B44E-B9D3-0EE27F1D378C}" name="Table2" displayName="Table2" ref="E3:F12" totalsRowShown="0">
  <autoFilter ref="E3:F12" xr:uid="{DB913288-E1E9-B44E-B9D3-0EE27F1D378C}"/>
  <tableColumns count="2">
    <tableColumn id="1" xr3:uid="{DE4E3D5A-2D3E-6A4A-89C5-C3FB2CD093CA}" name="Job Role">
      <calculatedColumnFormula>A4</calculatedColumnFormula>
    </tableColumn>
    <tableColumn id="2" xr3:uid="{FFF2B2AB-0183-C346-8914-E5252DE28E8E}" name="Attr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2.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3.xml"/><Relationship Id="rId4" Type="http://schemas.microsoft.com/office/2007/relationships/slicer" Target="../slicers/slicer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4.xml"/><Relationship Id="rId4" Type="http://schemas.microsoft.com/office/2007/relationships/slicer" Target="../slicers/slicer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5.xml"/><Relationship Id="rId4"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0.bin"/><Relationship Id="rId1" Type="http://schemas.openxmlformats.org/officeDocument/2006/relationships/pivotTable" Target="../pivotTables/pivotTable8.xml"/><Relationship Id="rId4" Type="http://schemas.microsoft.com/office/2007/relationships/slicer" Target="../slicers/slicer6.xml"/></Relationships>
</file>

<file path=xl/worksheets/_rels/sheet11.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12F5F-6330-4264-B75D-D71ECDA8D6DD}">
  <sheetPr>
    <pageSetUpPr fitToPage="1"/>
  </sheetPr>
  <dimension ref="U24"/>
  <sheetViews>
    <sheetView tabSelected="1" workbookViewId="0">
      <selection activeCell="T5" sqref="T5"/>
    </sheetView>
  </sheetViews>
  <sheetFormatPr defaultRowHeight="15.6" x14ac:dyDescent="0.3"/>
  <cols>
    <col min="2" max="2" width="9.09765625" customWidth="1"/>
  </cols>
  <sheetData>
    <row r="24" spans="21:21" x14ac:dyDescent="0.3">
      <c r="U24" t="s">
        <v>1569</v>
      </c>
    </row>
  </sheetData>
  <printOptions headings="1" gridLines="1"/>
  <pageMargins left="0.70866141732283472" right="0.70866141732283472" top="0.74803149606299213" bottom="0.74803149606299213" header="0.31496062992125984" footer="0.31496062992125984"/>
  <pageSetup paperSize="5" pageOrder="overThenDown" orientation="landscape" blackAndWhite="1"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B8E4C-6A50-4A2B-A1D9-424291481C3E}">
  <dimension ref="A1:AR1471"/>
  <sheetViews>
    <sheetView workbookViewId="0">
      <pane ySplit="1" topLeftCell="A2" activePane="bottomLeft" state="frozen"/>
      <selection pane="bottomLeft" activeCell="D7" sqref="D7"/>
    </sheetView>
  </sheetViews>
  <sheetFormatPr defaultColWidth="8.796875" defaultRowHeight="15.6" x14ac:dyDescent="0.3"/>
  <cols>
    <col min="1" max="1" width="10.5" bestFit="1" customWidth="1"/>
    <col min="2" max="2" width="16.5" bestFit="1" customWidth="1"/>
    <col min="3" max="3" width="14.19921875" bestFit="1" customWidth="1"/>
    <col min="4" max="4" width="17.796875" bestFit="1" customWidth="1"/>
    <col min="5" max="5" width="13.69921875" bestFit="1" customWidth="1"/>
    <col min="6" max="6" width="16.19921875" bestFit="1" customWidth="1"/>
    <col min="7" max="7" width="11" bestFit="1" customWidth="1"/>
    <col min="8" max="8" width="19.19921875" bestFit="1" customWidth="1"/>
    <col min="9" max="9" width="9.69921875" bestFit="1" customWidth="1"/>
    <col min="10" max="10" width="23.19921875" bestFit="1" customWidth="1"/>
    <col min="11" max="11" width="15.296875" bestFit="1" customWidth="1"/>
    <col min="12" max="12" width="12.296875" bestFit="1" customWidth="1"/>
    <col min="13" max="13" width="9.69921875" bestFit="1" customWidth="1"/>
    <col min="14" max="14" width="24.19921875" bestFit="1" customWidth="1"/>
    <col min="15" max="15" width="5.296875" bestFit="1" customWidth="1"/>
    <col min="16" max="16" width="4.69921875" bestFit="1" customWidth="1"/>
    <col min="17" max="17" width="6.796875" bestFit="1" customWidth="1"/>
    <col min="18" max="18" width="18.296875" bestFit="1" customWidth="1"/>
    <col min="19" max="19" width="19.296875" bestFit="1" customWidth="1"/>
    <col min="20" max="20" width="17.19921875" bestFit="1" customWidth="1"/>
    <col min="21" max="21" width="21.296875" bestFit="1" customWidth="1"/>
    <col min="22" max="22" width="12.296875" bestFit="1" customWidth="1"/>
    <col min="23" max="23" width="21.296875" bestFit="1" customWidth="1"/>
    <col min="24" max="24" width="16.296875" bestFit="1" customWidth="1"/>
    <col min="25" max="25" width="17" bestFit="1" customWidth="1"/>
    <col min="26" max="26" width="24.69921875" bestFit="1" customWidth="1"/>
    <col min="27" max="27" width="13.5" bestFit="1" customWidth="1"/>
    <col min="28" max="28" width="17.19921875" bestFit="1" customWidth="1"/>
    <col min="29" max="29" width="11.19921875" bestFit="1" customWidth="1"/>
    <col min="30" max="30" width="16.5" bestFit="1" customWidth="1"/>
    <col min="31" max="31" width="17" bestFit="1" customWidth="1"/>
    <col min="32" max="32" width="14.796875" bestFit="1" customWidth="1"/>
    <col min="33" max="33" width="24.5" bestFit="1" customWidth="1"/>
    <col min="34" max="34" width="20" bestFit="1" customWidth="1"/>
    <col min="35" max="35" width="20.19921875" bestFit="1" customWidth="1"/>
    <col min="36" max="36" width="24.296875" bestFit="1" customWidth="1"/>
    <col min="37" max="37" width="16.296875" bestFit="1" customWidth="1"/>
    <col min="38" max="38" width="19.19921875" bestFit="1" customWidth="1"/>
    <col min="39" max="39" width="20.5" bestFit="1" customWidth="1"/>
    <col min="40" max="41" width="18.796875" bestFit="1" customWidth="1"/>
    <col min="42" max="42" width="21" bestFit="1" customWidth="1"/>
    <col min="43" max="43" width="26.19921875" bestFit="1" customWidth="1"/>
    <col min="44" max="44" width="24.69921875" bestFit="1"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BEF-E240-C74D-AEB1-53390C8822FC}">
  <dimension ref="A3:E7"/>
  <sheetViews>
    <sheetView workbookViewId="0">
      <selection activeCell="B14" sqref="B14"/>
    </sheetView>
  </sheetViews>
  <sheetFormatPr defaultColWidth="11.19921875" defaultRowHeight="15.6" x14ac:dyDescent="0.3"/>
  <cols>
    <col min="1" max="1" width="24.5" bestFit="1" customWidth="1"/>
    <col min="2" max="2" width="22.796875" bestFit="1" customWidth="1"/>
    <col min="3" max="3" width="13.5" bestFit="1" customWidth="1"/>
    <col min="4" max="4" width="15.5" bestFit="1" customWidth="1"/>
    <col min="5" max="5" width="12.296875" bestFit="1" customWidth="1"/>
  </cols>
  <sheetData>
    <row r="3" spans="1:5" x14ac:dyDescent="0.3">
      <c r="A3" t="s">
        <v>1554</v>
      </c>
      <c r="B3" t="s">
        <v>1555</v>
      </c>
      <c r="C3" t="s">
        <v>1556</v>
      </c>
    </row>
    <row r="4" spans="1:5" x14ac:dyDescent="0.3">
      <c r="A4">
        <v>1470</v>
      </c>
      <c r="B4">
        <v>237</v>
      </c>
      <c r="C4">
        <v>36.923809523809524</v>
      </c>
    </row>
    <row r="6" spans="1:5" x14ac:dyDescent="0.3">
      <c r="A6" s="1" t="s">
        <v>1557</v>
      </c>
      <c r="B6" s="1" t="s">
        <v>1558</v>
      </c>
      <c r="C6" s="1" t="s">
        <v>1559</v>
      </c>
      <c r="D6" s="1" t="s">
        <v>1560</v>
      </c>
      <c r="E6" s="1" t="s">
        <v>1561</v>
      </c>
    </row>
    <row r="7" spans="1:5" x14ac:dyDescent="0.3">
      <c r="A7">
        <f>GETPIVOTDATA("Count of Employee Number",$A$3)</f>
        <v>1470</v>
      </c>
      <c r="B7">
        <f>GETPIVOTDATA("Sum of CF_attrition count",$A$3)</f>
        <v>237</v>
      </c>
      <c r="C7" s="4">
        <f>GETPIVOTDATA("Average of Age",$A$3)</f>
        <v>36.923809523809524</v>
      </c>
      <c r="D7">
        <f>GETPIVOTDATA("Count of Employee Number",$A$3)-GETPIVOTDATA("Sum of CF_attrition count",$A$3)</f>
        <v>1233</v>
      </c>
      <c r="E7" s="3">
        <f>GETPIVOTDATA("Sum of CF_attrition count",$A$3)/GETPIVOTDATA("Count of Employee Number",$A$3)</f>
        <v>0.16122448979591836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EDF3-A465-8B44-B56A-026E0C479855}">
  <dimension ref="A3:C7"/>
  <sheetViews>
    <sheetView workbookViewId="0">
      <selection activeCell="E14" sqref="E14"/>
    </sheetView>
  </sheetViews>
  <sheetFormatPr defaultColWidth="11.19921875" defaultRowHeight="15.6" x14ac:dyDescent="0.3"/>
  <cols>
    <col min="1" max="1" width="23.69921875" bestFit="1" customWidth="1"/>
  </cols>
  <sheetData>
    <row r="3" spans="1:3" x14ac:dyDescent="0.3">
      <c r="A3" t="s">
        <v>1562</v>
      </c>
    </row>
    <row r="4" spans="1:3" x14ac:dyDescent="0.3">
      <c r="A4" s="4">
        <v>2.6265306122448981</v>
      </c>
    </row>
    <row r="6" spans="1:3" x14ac:dyDescent="0.3">
      <c r="A6" t="s">
        <v>1563</v>
      </c>
      <c r="B6" s="4">
        <f>GETPIVOTDATA("Job Satisfaction",$A$3)</f>
        <v>2.6265306122448981</v>
      </c>
      <c r="C6" s="3">
        <f>B6/4</f>
        <v>0.65663265306122454</v>
      </c>
    </row>
    <row r="7" spans="1:3" x14ac:dyDescent="0.3">
      <c r="A7" s="4" t="s">
        <v>1564</v>
      </c>
      <c r="B7" s="4">
        <f>4-B6</f>
        <v>1.3734693877551019</v>
      </c>
      <c r="C7" s="3">
        <f>B7/4</f>
        <v>0.34336734693877546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EAC24-4CB3-1445-B5D4-2BE54CDA3CB6}">
  <dimension ref="A3:C17"/>
  <sheetViews>
    <sheetView topLeftCell="A6" zoomScaleNormal="100" workbookViewId="0">
      <selection activeCell="S11" sqref="S11"/>
    </sheetView>
  </sheetViews>
  <sheetFormatPr defaultColWidth="11.19921875" defaultRowHeight="15.6" x14ac:dyDescent="0.3"/>
  <cols>
    <col min="1" max="1" width="12.296875" bestFit="1" customWidth="1"/>
    <col min="2" max="2" width="24.5" bestFit="1" customWidth="1"/>
    <col min="3" max="3" width="12.19921875" bestFit="1" customWidth="1"/>
    <col min="4" max="7" width="2.19921875" bestFit="1" customWidth="1"/>
    <col min="8" max="77" width="3.19921875" bestFit="1" customWidth="1"/>
    <col min="78" max="718" width="4.19921875" bestFit="1" customWidth="1"/>
    <col min="719" max="1471" width="5.19921875" bestFit="1" customWidth="1"/>
  </cols>
  <sheetData>
    <row r="3" spans="1:3" x14ac:dyDescent="0.3">
      <c r="A3" s="6" t="s">
        <v>1565</v>
      </c>
      <c r="B3" t="s">
        <v>1554</v>
      </c>
    </row>
    <row r="4" spans="1:3" x14ac:dyDescent="0.3">
      <c r="A4" s="7" t="s">
        <v>51</v>
      </c>
      <c r="B4">
        <v>588</v>
      </c>
    </row>
    <row r="5" spans="1:3" x14ac:dyDescent="0.3">
      <c r="A5" s="7" t="s">
        <v>62</v>
      </c>
      <c r="B5">
        <v>882</v>
      </c>
    </row>
    <row r="6" spans="1:3" x14ac:dyDescent="0.3">
      <c r="A6" s="7" t="s">
        <v>1566</v>
      </c>
      <c r="B6">
        <v>1470</v>
      </c>
    </row>
    <row r="11" spans="1:3" x14ac:dyDescent="0.3">
      <c r="A11" t="s">
        <v>51</v>
      </c>
      <c r="B11">
        <f>IFERROR(GETPIVOTDATA("Employee Number",$A$3,"Gender","Female"),0)</f>
        <v>588</v>
      </c>
      <c r="C11" s="2">
        <f>IFERROR(B11/($B$11+$B$12),0)</f>
        <v>0.4</v>
      </c>
    </row>
    <row r="12" spans="1:3" x14ac:dyDescent="0.3">
      <c r="A12" t="s">
        <v>62</v>
      </c>
      <c r="B12">
        <f>IFERROR(GETPIVOTDATA("Employee Number",$A$3,"Gender","Male"),0)</f>
        <v>882</v>
      </c>
      <c r="C12" s="2">
        <f>IFERROR(B12/($B$11+$B$12),0)</f>
        <v>0.6</v>
      </c>
    </row>
    <row r="13" spans="1:3" x14ac:dyDescent="0.3">
      <c r="C13" s="3"/>
    </row>
    <row r="16" spans="1:3" x14ac:dyDescent="0.3">
      <c r="C16" s="3"/>
    </row>
    <row r="17" spans="3:3" x14ac:dyDescent="0.3">
      <c r="C17" s="3"/>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D5AE9-F2EE-D64D-AC19-762577B5795D}">
  <dimension ref="A3:B9"/>
  <sheetViews>
    <sheetView topLeftCell="C1" workbookViewId="0">
      <selection activeCell="N32" sqref="N32"/>
    </sheetView>
  </sheetViews>
  <sheetFormatPr defaultColWidth="11.19921875" defaultRowHeight="15.6" x14ac:dyDescent="0.3"/>
  <cols>
    <col min="1" max="1" width="16" bestFit="1" customWidth="1"/>
    <col min="2" max="2" width="22.796875" bestFit="1" customWidth="1"/>
    <col min="3" max="3" width="22.5" bestFit="1" customWidth="1"/>
  </cols>
  <sheetData>
    <row r="3" spans="1:2" x14ac:dyDescent="0.3">
      <c r="A3" s="6" t="s">
        <v>1565</v>
      </c>
      <c r="B3" t="s">
        <v>1555</v>
      </c>
    </row>
    <row r="4" spans="1:2" x14ac:dyDescent="0.3">
      <c r="A4" s="7" t="s">
        <v>134</v>
      </c>
      <c r="B4">
        <v>5</v>
      </c>
    </row>
    <row r="5" spans="1:2" x14ac:dyDescent="0.3">
      <c r="A5" s="7" t="s">
        <v>65</v>
      </c>
      <c r="B5">
        <v>31</v>
      </c>
    </row>
    <row r="6" spans="1:2" x14ac:dyDescent="0.3">
      <c r="A6" s="7" t="s">
        <v>55</v>
      </c>
      <c r="B6">
        <v>44</v>
      </c>
    </row>
    <row r="7" spans="1:2" x14ac:dyDescent="0.3">
      <c r="A7" s="7" t="s">
        <v>71</v>
      </c>
      <c r="B7">
        <v>58</v>
      </c>
    </row>
    <row r="8" spans="1:2" x14ac:dyDescent="0.3">
      <c r="A8" s="7" t="s">
        <v>77</v>
      </c>
      <c r="B8">
        <v>99</v>
      </c>
    </row>
    <row r="9" spans="1:2" x14ac:dyDescent="0.3">
      <c r="A9" s="7" t="s">
        <v>1566</v>
      </c>
      <c r="B9">
        <v>237</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5AF00-B912-6F4C-8392-B6F8FBFD21FB}">
  <dimension ref="A3:F13"/>
  <sheetViews>
    <sheetView workbookViewId="0">
      <selection activeCell="B4" sqref="B4"/>
    </sheetView>
  </sheetViews>
  <sheetFormatPr defaultColWidth="11.19921875" defaultRowHeight="15.6" x14ac:dyDescent="0.3"/>
  <cols>
    <col min="1" max="1" width="23.296875" bestFit="1" customWidth="1"/>
    <col min="2" max="2" width="24.296875" bestFit="1" customWidth="1"/>
    <col min="5" max="5" width="23.19921875" bestFit="1" customWidth="1"/>
  </cols>
  <sheetData>
    <row r="3" spans="1:6" x14ac:dyDescent="0.3">
      <c r="A3" s="6" t="s">
        <v>1565</v>
      </c>
      <c r="B3" t="s">
        <v>1567</v>
      </c>
      <c r="E3" t="s">
        <v>9</v>
      </c>
      <c r="F3" t="s">
        <v>0</v>
      </c>
    </row>
    <row r="4" spans="1:6" x14ac:dyDescent="0.3">
      <c r="A4" s="7" t="s">
        <v>83</v>
      </c>
      <c r="B4">
        <v>131</v>
      </c>
      <c r="E4" t="str">
        <f>A4</f>
        <v>Healthcare Representative</v>
      </c>
      <c r="F4">
        <f>GETPIVOTDATA("CF_attrition count",$A$3,"Job Role","Healthcare Representative")</f>
        <v>131</v>
      </c>
    </row>
    <row r="5" spans="1:6" x14ac:dyDescent="0.3">
      <c r="A5" s="7" t="s">
        <v>163</v>
      </c>
      <c r="B5">
        <v>52</v>
      </c>
      <c r="E5" t="str">
        <f t="shared" ref="E5:E12" si="0">A5</f>
        <v>Human Resources</v>
      </c>
      <c r="F5">
        <f>GETPIVOTDATA("CF_attrition count",$A$3,"Job Role","Human Resources")</f>
        <v>52</v>
      </c>
    </row>
    <row r="6" spans="1:6" x14ac:dyDescent="0.3">
      <c r="A6" s="7" t="s">
        <v>68</v>
      </c>
      <c r="B6">
        <v>259</v>
      </c>
      <c r="E6" t="str">
        <f t="shared" si="0"/>
        <v>Laboratory Technician</v>
      </c>
      <c r="F6">
        <f>GETPIVOTDATA("CF_attrition count",$A$3,"Job Role","Laboratory Technician")</f>
        <v>259</v>
      </c>
    </row>
    <row r="7" spans="1:6" x14ac:dyDescent="0.3">
      <c r="A7" s="7" t="s">
        <v>95</v>
      </c>
      <c r="B7">
        <v>102</v>
      </c>
      <c r="E7" t="str">
        <f t="shared" si="0"/>
        <v>Manager</v>
      </c>
      <c r="F7">
        <f>GETPIVOTDATA("CF_attrition count",$A$3,"Job Role","Manager")</f>
        <v>102</v>
      </c>
    </row>
    <row r="8" spans="1:6" x14ac:dyDescent="0.3">
      <c r="A8" s="7" t="s">
        <v>81</v>
      </c>
      <c r="B8">
        <v>145</v>
      </c>
      <c r="E8" t="str">
        <f t="shared" si="0"/>
        <v>Manufacturing Director</v>
      </c>
      <c r="F8">
        <f>GETPIVOTDATA("CF_attrition count",$A$3,"Job Role","Manufacturing Director")</f>
        <v>145</v>
      </c>
    </row>
    <row r="9" spans="1:6" x14ac:dyDescent="0.3">
      <c r="A9" s="7" t="s">
        <v>101</v>
      </c>
      <c r="B9">
        <v>80</v>
      </c>
      <c r="E9" t="str">
        <f t="shared" si="0"/>
        <v>Research Director</v>
      </c>
      <c r="F9">
        <f>GETPIVOTDATA("CF_attrition count",$A$3,"Job Role","Research Director")</f>
        <v>80</v>
      </c>
    </row>
    <row r="10" spans="1:6" x14ac:dyDescent="0.3">
      <c r="A10" s="7" t="s">
        <v>63</v>
      </c>
      <c r="B10">
        <v>292</v>
      </c>
      <c r="E10" t="str">
        <f t="shared" si="0"/>
        <v>Research Scientist</v>
      </c>
      <c r="F10">
        <f>GETPIVOTDATA("CF_attrition count",$A$3,"Job Role","Research Scientist")</f>
        <v>292</v>
      </c>
    </row>
    <row r="11" spans="1:6" x14ac:dyDescent="0.3">
      <c r="A11" s="7" t="s">
        <v>52</v>
      </c>
      <c r="B11">
        <v>326</v>
      </c>
      <c r="E11" t="str">
        <f t="shared" si="0"/>
        <v>Sales Executive</v>
      </c>
      <c r="F11">
        <f>GETPIVOTDATA("CF_attrition count",$A$3,"Job Role","Sales Executive")</f>
        <v>326</v>
      </c>
    </row>
    <row r="12" spans="1:6" x14ac:dyDescent="0.3">
      <c r="A12" s="7" t="s">
        <v>99</v>
      </c>
      <c r="B12">
        <v>83</v>
      </c>
      <c r="E12" t="str">
        <f t="shared" si="0"/>
        <v>Sales Representative</v>
      </c>
      <c r="F12">
        <f>GETPIVOTDATA("CF_attrition count",$A$3,"Job Role","Sales Representative")</f>
        <v>83</v>
      </c>
    </row>
    <row r="13" spans="1:6" x14ac:dyDescent="0.3">
      <c r="A13" s="7" t="s">
        <v>1566</v>
      </c>
      <c r="B13">
        <v>1470</v>
      </c>
    </row>
  </sheetData>
  <pageMargins left="0.7" right="0.7" top="0.75" bottom="0.75" header="0.3" footer="0.3"/>
  <pageSetup orientation="portrait" r:id="rId2"/>
  <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A3CEE-CFED-E34D-BC8F-89FC3EB64D32}">
  <dimension ref="A3:F7"/>
  <sheetViews>
    <sheetView workbookViewId="0">
      <selection activeCell="B11" sqref="B11"/>
    </sheetView>
  </sheetViews>
  <sheetFormatPr defaultColWidth="11.19921875" defaultRowHeight="15.6" x14ac:dyDescent="0.3"/>
  <cols>
    <col min="1" max="1" width="12.296875" bestFit="1" customWidth="1"/>
    <col min="2" max="2" width="22.796875" bestFit="1" customWidth="1"/>
    <col min="4" max="4" width="11" bestFit="1" customWidth="1"/>
  </cols>
  <sheetData>
    <row r="3" spans="1:6" x14ac:dyDescent="0.3">
      <c r="A3" s="6" t="s">
        <v>1565</v>
      </c>
      <c r="B3" t="s">
        <v>1555</v>
      </c>
      <c r="D3" t="s">
        <v>4</v>
      </c>
      <c r="E3" t="s">
        <v>0</v>
      </c>
      <c r="F3" t="s">
        <v>1568</v>
      </c>
    </row>
    <row r="4" spans="1:6" x14ac:dyDescent="0.3">
      <c r="A4" s="7" t="s">
        <v>161</v>
      </c>
      <c r="B4">
        <v>12</v>
      </c>
      <c r="D4" t="str">
        <f>A4</f>
        <v>HR</v>
      </c>
      <c r="E4">
        <f>GETPIVOTDATA("CF_attrition count",$A$3,"Department",A4)</f>
        <v>12</v>
      </c>
      <c r="F4" s="3">
        <f>E4/GETPIVOTDATA("CF_attrition count",$A$3)</f>
        <v>5.0632911392405063E-2</v>
      </c>
    </row>
    <row r="5" spans="1:6" x14ac:dyDescent="0.3">
      <c r="A5" s="7" t="s">
        <v>60</v>
      </c>
      <c r="B5">
        <v>133</v>
      </c>
      <c r="D5" t="str">
        <f t="shared" ref="D5:D6" si="0">A5</f>
        <v>R&amp;D</v>
      </c>
      <c r="E5">
        <f t="shared" ref="E5:E6" si="1">GETPIVOTDATA("CF_attrition count",$A$3,"Department",A5)</f>
        <v>133</v>
      </c>
      <c r="F5" s="3">
        <f>E5/GETPIVOTDATA("CF_attrition count",$A$3)</f>
        <v>0.56118143459915615</v>
      </c>
    </row>
    <row r="6" spans="1:6" x14ac:dyDescent="0.3">
      <c r="A6" s="7" t="s">
        <v>48</v>
      </c>
      <c r="B6">
        <v>92</v>
      </c>
      <c r="D6" t="str">
        <f t="shared" si="0"/>
        <v>Sales</v>
      </c>
      <c r="E6">
        <f t="shared" si="1"/>
        <v>92</v>
      </c>
      <c r="F6" s="3">
        <f>E6/GETPIVOTDATA("CF_attrition count",$A$3)</f>
        <v>0.3881856540084388</v>
      </c>
    </row>
    <row r="7" spans="1:6" x14ac:dyDescent="0.3">
      <c r="A7" s="7" t="s">
        <v>1566</v>
      </c>
      <c r="B7">
        <v>237</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9A398-D1DE-0448-907B-7C29D22BCD20}">
  <dimension ref="A3:B9"/>
  <sheetViews>
    <sheetView topLeftCell="A10" workbookViewId="0">
      <selection activeCell="K18" sqref="K18"/>
    </sheetView>
  </sheetViews>
  <sheetFormatPr defaultColWidth="11.19921875" defaultRowHeight="15.6" x14ac:dyDescent="0.3"/>
  <cols>
    <col min="1" max="1" width="12.296875" bestFit="1" customWidth="1"/>
    <col min="2" max="2" width="24.296875" bestFit="1" customWidth="1"/>
    <col min="3" max="3" width="19.19921875" bestFit="1" customWidth="1"/>
  </cols>
  <sheetData>
    <row r="3" spans="1:2" x14ac:dyDescent="0.3">
      <c r="A3" s="6" t="s">
        <v>1565</v>
      </c>
      <c r="B3" t="s">
        <v>1567</v>
      </c>
    </row>
    <row r="4" spans="1:2" x14ac:dyDescent="0.3">
      <c r="A4" s="7" t="s">
        <v>69</v>
      </c>
      <c r="B4">
        <v>554</v>
      </c>
    </row>
    <row r="5" spans="1:2" x14ac:dyDescent="0.3">
      <c r="A5" s="7" t="s">
        <v>46</v>
      </c>
      <c r="B5">
        <v>505</v>
      </c>
    </row>
    <row r="6" spans="1:2" x14ac:dyDescent="0.3">
      <c r="A6" s="7" t="s">
        <v>58</v>
      </c>
      <c r="B6">
        <v>245</v>
      </c>
    </row>
    <row r="7" spans="1:2" x14ac:dyDescent="0.3">
      <c r="A7" s="7" t="s">
        <v>92</v>
      </c>
      <c r="B7">
        <v>97</v>
      </c>
    </row>
    <row r="8" spans="1:2" x14ac:dyDescent="0.3">
      <c r="A8" s="7" t="s">
        <v>75</v>
      </c>
      <c r="B8">
        <v>69</v>
      </c>
    </row>
    <row r="9" spans="1:2" x14ac:dyDescent="0.3">
      <c r="A9" s="7" t="s">
        <v>1566</v>
      </c>
      <c r="B9">
        <v>1470</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988A5-E120-C848-B62B-E1A27D8E8D4F}">
  <dimension ref="A3:E7"/>
  <sheetViews>
    <sheetView topLeftCell="A4" workbookViewId="0">
      <selection activeCell="N12" sqref="N12"/>
    </sheetView>
  </sheetViews>
  <sheetFormatPr defaultColWidth="11.19921875" defaultRowHeight="15.6" x14ac:dyDescent="0.3"/>
  <cols>
    <col min="1" max="1" width="12.296875" bestFit="1" customWidth="1"/>
    <col min="2" max="2" width="24.296875" bestFit="1" customWidth="1"/>
    <col min="4" max="4" width="12.796875" bestFit="1" customWidth="1"/>
  </cols>
  <sheetData>
    <row r="3" spans="1:5" x14ac:dyDescent="0.3">
      <c r="A3" s="6" t="s">
        <v>1565</v>
      </c>
      <c r="B3" t="s">
        <v>1567</v>
      </c>
      <c r="D3" t="s">
        <v>10</v>
      </c>
      <c r="E3" t="s">
        <v>0</v>
      </c>
    </row>
    <row r="4" spans="1:5" x14ac:dyDescent="0.3">
      <c r="A4" s="7" t="s">
        <v>79</v>
      </c>
      <c r="B4">
        <v>327</v>
      </c>
      <c r="D4" t="str">
        <f>A4</f>
        <v>Divorced</v>
      </c>
      <c r="E4">
        <f>GETPIVOTDATA("CF_attrition count",$A$3,"Marital Status",A4)</f>
        <v>327</v>
      </c>
    </row>
    <row r="5" spans="1:5" x14ac:dyDescent="0.3">
      <c r="A5" s="7" t="s">
        <v>53</v>
      </c>
      <c r="B5">
        <v>470</v>
      </c>
      <c r="D5" t="str">
        <f t="shared" ref="D5:D6" si="0">A5</f>
        <v>Single</v>
      </c>
      <c r="E5">
        <f t="shared" ref="E5:E6" si="1">GETPIVOTDATA("CF_attrition count",$A$3,"Marital Status",A5)</f>
        <v>470</v>
      </c>
    </row>
    <row r="6" spans="1:5" x14ac:dyDescent="0.3">
      <c r="A6" s="7" t="s">
        <v>64</v>
      </c>
      <c r="B6">
        <v>673</v>
      </c>
      <c r="D6" t="str">
        <f t="shared" si="0"/>
        <v>Married</v>
      </c>
      <c r="E6">
        <f t="shared" si="1"/>
        <v>673</v>
      </c>
    </row>
    <row r="7" spans="1:5" x14ac:dyDescent="0.3">
      <c r="A7" s="7" t="s">
        <v>1566</v>
      </c>
      <c r="B7">
        <v>1470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3A89D-3C3F-764A-958B-E355F58B34C9}">
  <dimension ref="A1:X50"/>
  <sheetViews>
    <sheetView showGridLines="0" zoomScaleNormal="100" workbookViewId="0">
      <selection activeCell="A29" sqref="A29"/>
    </sheetView>
  </sheetViews>
  <sheetFormatPr defaultColWidth="11.19921875" defaultRowHeight="15.6"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row r="36" spans="1:24" x14ac:dyDescent="0.3">
      <c r="A36" s="5"/>
      <c r="B36" s="5"/>
      <c r="C36" s="5"/>
      <c r="D36" s="5"/>
      <c r="E36" s="5"/>
      <c r="F36" s="5"/>
      <c r="G36" s="5"/>
      <c r="H36" s="5"/>
      <c r="I36" s="5"/>
      <c r="J36" s="5"/>
      <c r="K36" s="5"/>
      <c r="L36" s="5"/>
      <c r="M36" s="5"/>
      <c r="N36" s="5"/>
      <c r="O36" s="5"/>
      <c r="P36" s="5"/>
      <c r="Q36" s="5"/>
      <c r="R36" s="5"/>
      <c r="S36" s="5"/>
      <c r="T36" s="5"/>
      <c r="U36" s="5"/>
      <c r="V36" s="5"/>
      <c r="W36" s="5"/>
      <c r="X36" s="5"/>
    </row>
    <row r="37" spans="1:24" x14ac:dyDescent="0.3">
      <c r="A37" s="5"/>
      <c r="B37" s="5"/>
      <c r="C37" s="5"/>
      <c r="D37" s="5"/>
      <c r="E37" s="5"/>
      <c r="F37" s="5"/>
      <c r="G37" s="5"/>
      <c r="H37" s="5"/>
      <c r="I37" s="5"/>
      <c r="J37" s="5"/>
      <c r="K37" s="5"/>
      <c r="L37" s="5"/>
      <c r="M37" s="5"/>
      <c r="N37" s="5"/>
      <c r="O37" s="5"/>
      <c r="P37" s="5"/>
      <c r="Q37" s="5"/>
      <c r="R37" s="5"/>
      <c r="S37" s="5"/>
      <c r="T37" s="5"/>
      <c r="U37" s="5"/>
      <c r="V37" s="5"/>
      <c r="W37" s="5"/>
      <c r="X37" s="5"/>
    </row>
    <row r="38" spans="1:24" x14ac:dyDescent="0.3">
      <c r="A38" s="5"/>
      <c r="B38" s="5"/>
      <c r="C38" s="5"/>
      <c r="D38" s="5"/>
      <c r="E38" s="5"/>
      <c r="F38" s="5"/>
      <c r="G38" s="5"/>
      <c r="H38" s="5"/>
      <c r="I38" s="5"/>
      <c r="J38" s="5"/>
      <c r="K38" s="5"/>
      <c r="L38" s="5"/>
      <c r="M38" s="5"/>
      <c r="N38" s="5"/>
      <c r="O38" s="5"/>
      <c r="P38" s="5"/>
      <c r="Q38" s="5"/>
      <c r="R38" s="5"/>
      <c r="S38" s="5"/>
      <c r="T38" s="5"/>
      <c r="U38" s="5"/>
      <c r="V38" s="5"/>
      <c r="W38" s="5"/>
      <c r="X38" s="5"/>
    </row>
    <row r="39" spans="1:24" x14ac:dyDescent="0.3">
      <c r="A39" s="5"/>
      <c r="B39" s="5"/>
      <c r="C39" s="5"/>
      <c r="D39" s="5"/>
      <c r="E39" s="5"/>
      <c r="F39" s="5"/>
      <c r="G39" s="5"/>
      <c r="H39" s="5"/>
      <c r="I39" s="5"/>
      <c r="J39" s="5"/>
      <c r="K39" s="5"/>
      <c r="L39" s="5"/>
      <c r="M39" s="5"/>
      <c r="N39" s="5"/>
      <c r="O39" s="5"/>
      <c r="P39" s="5"/>
      <c r="Q39" s="5"/>
      <c r="R39" s="5"/>
      <c r="S39" s="5"/>
      <c r="T39" s="5"/>
      <c r="U39" s="5"/>
      <c r="V39" s="5"/>
      <c r="W39" s="5"/>
      <c r="X39" s="5"/>
    </row>
    <row r="40" spans="1:24" x14ac:dyDescent="0.3">
      <c r="A40" s="5"/>
      <c r="B40" s="5"/>
      <c r="C40" s="5"/>
      <c r="D40" s="5"/>
      <c r="E40" s="5"/>
      <c r="F40" s="5"/>
      <c r="G40" s="5"/>
      <c r="H40" s="5"/>
      <c r="I40" s="5"/>
      <c r="J40" s="5"/>
      <c r="K40" s="5"/>
      <c r="L40" s="5"/>
      <c r="M40" s="5"/>
      <c r="N40" s="5"/>
      <c r="O40" s="5"/>
      <c r="P40" s="5"/>
      <c r="Q40" s="5"/>
      <c r="R40" s="5"/>
      <c r="S40" s="5"/>
      <c r="T40" s="5"/>
      <c r="U40" s="5"/>
      <c r="V40" s="5"/>
      <c r="W40" s="5"/>
      <c r="X40" s="5"/>
    </row>
    <row r="41" spans="1:24" x14ac:dyDescent="0.3">
      <c r="A41" s="5"/>
      <c r="B41" s="5"/>
      <c r="C41" s="5"/>
      <c r="D41" s="5"/>
      <c r="E41" s="5"/>
      <c r="F41" s="5"/>
      <c r="G41" s="5"/>
      <c r="H41" s="5"/>
      <c r="I41" s="5"/>
      <c r="J41" s="5"/>
      <c r="K41" s="5"/>
      <c r="L41" s="5"/>
      <c r="M41" s="5"/>
      <c r="N41" s="5"/>
      <c r="O41" s="5"/>
      <c r="P41" s="5"/>
      <c r="Q41" s="5"/>
      <c r="R41" s="5"/>
      <c r="S41" s="5"/>
      <c r="T41" s="5"/>
      <c r="U41" s="5"/>
      <c r="V41" s="5"/>
      <c r="W41" s="5"/>
      <c r="X41" s="5"/>
    </row>
    <row r="42" spans="1:24" x14ac:dyDescent="0.3">
      <c r="A42" s="5"/>
      <c r="B42" s="5"/>
      <c r="C42" s="5"/>
      <c r="D42" s="5"/>
      <c r="E42" s="5"/>
      <c r="F42" s="5"/>
      <c r="G42" s="5"/>
      <c r="H42" s="5"/>
      <c r="I42" s="5"/>
      <c r="J42" s="5"/>
      <c r="K42" s="5"/>
      <c r="L42" s="5"/>
      <c r="M42" s="5"/>
      <c r="N42" s="5"/>
      <c r="O42" s="5"/>
      <c r="P42" s="5"/>
      <c r="Q42" s="5"/>
      <c r="R42" s="5"/>
      <c r="S42" s="5"/>
      <c r="T42" s="5"/>
      <c r="U42" s="5"/>
      <c r="V42" s="5"/>
      <c r="W42" s="5"/>
      <c r="X42" s="5"/>
    </row>
    <row r="43" spans="1:24" x14ac:dyDescent="0.3">
      <c r="A43" s="5"/>
      <c r="B43" s="5"/>
      <c r="C43" s="5"/>
      <c r="D43" s="5"/>
      <c r="E43" s="5"/>
      <c r="F43" s="5"/>
      <c r="G43" s="5"/>
      <c r="H43" s="5"/>
      <c r="I43" s="5"/>
      <c r="J43" s="5"/>
      <c r="K43" s="5"/>
      <c r="L43" s="5"/>
      <c r="M43" s="5"/>
      <c r="N43" s="5"/>
      <c r="O43" s="5"/>
      <c r="P43" s="5"/>
      <c r="Q43" s="5"/>
      <c r="R43" s="5"/>
      <c r="S43" s="5"/>
      <c r="T43" s="5"/>
      <c r="U43" s="5"/>
      <c r="V43" s="5"/>
      <c r="W43" s="5"/>
      <c r="X43" s="5"/>
    </row>
    <row r="44" spans="1:24" x14ac:dyDescent="0.3">
      <c r="A44" s="5"/>
      <c r="B44" s="5"/>
      <c r="C44" s="5"/>
      <c r="D44" s="5"/>
      <c r="E44" s="5"/>
      <c r="F44" s="5"/>
      <c r="G44" s="5"/>
      <c r="H44" s="5"/>
      <c r="I44" s="5"/>
      <c r="J44" s="5"/>
      <c r="K44" s="5"/>
      <c r="L44" s="5"/>
      <c r="M44" s="5"/>
      <c r="N44" s="5"/>
      <c r="O44" s="5"/>
      <c r="P44" s="5"/>
      <c r="Q44" s="5"/>
      <c r="R44" s="5"/>
      <c r="S44" s="5"/>
      <c r="T44" s="5"/>
      <c r="U44" s="5"/>
      <c r="V44" s="5"/>
      <c r="W44" s="5"/>
      <c r="X44" s="5"/>
    </row>
    <row r="45" spans="1:24" x14ac:dyDescent="0.3">
      <c r="A45" s="5"/>
      <c r="B45" s="5"/>
      <c r="C45" s="5"/>
      <c r="D45" s="5"/>
      <c r="E45" s="5"/>
      <c r="F45" s="5"/>
      <c r="G45" s="5"/>
      <c r="H45" s="5"/>
      <c r="I45" s="5"/>
      <c r="J45" s="5"/>
      <c r="K45" s="5"/>
      <c r="L45" s="5"/>
      <c r="M45" s="5"/>
      <c r="N45" s="5"/>
      <c r="O45" s="5"/>
      <c r="P45" s="5"/>
      <c r="Q45" s="5"/>
      <c r="R45" s="5"/>
      <c r="S45" s="5"/>
      <c r="T45" s="5"/>
      <c r="U45" s="5"/>
      <c r="V45" s="5"/>
      <c r="W45" s="5"/>
      <c r="X45" s="5"/>
    </row>
    <row r="46" spans="1:24" x14ac:dyDescent="0.3">
      <c r="A46" s="5"/>
      <c r="B46" s="5"/>
      <c r="C46" s="5"/>
      <c r="D46" s="5"/>
      <c r="E46" s="5"/>
      <c r="F46" s="5"/>
      <c r="G46" s="5"/>
      <c r="H46" s="5"/>
      <c r="I46" s="5"/>
      <c r="J46" s="5"/>
      <c r="K46" s="5"/>
      <c r="L46" s="5"/>
      <c r="M46" s="5"/>
      <c r="N46" s="5"/>
      <c r="O46" s="5"/>
      <c r="P46" s="5"/>
      <c r="Q46" s="5"/>
      <c r="R46" s="5"/>
      <c r="S46" s="5"/>
      <c r="T46" s="5"/>
      <c r="U46" s="5"/>
      <c r="V46" s="5"/>
      <c r="W46" s="5"/>
      <c r="X46" s="5"/>
    </row>
    <row r="47" spans="1:24" x14ac:dyDescent="0.3">
      <c r="A47" s="5"/>
      <c r="B47" s="5"/>
      <c r="C47" s="5"/>
      <c r="D47" s="5"/>
      <c r="E47" s="5"/>
      <c r="F47" s="5"/>
      <c r="G47" s="5"/>
      <c r="H47" s="5"/>
      <c r="I47" s="5"/>
      <c r="J47" s="5"/>
      <c r="K47" s="5"/>
      <c r="L47" s="5"/>
      <c r="M47" s="5"/>
      <c r="N47" s="5"/>
      <c r="O47" s="5"/>
      <c r="P47" s="5"/>
      <c r="Q47" s="5"/>
      <c r="R47" s="5"/>
      <c r="S47" s="5"/>
      <c r="T47" s="5"/>
      <c r="U47" s="5"/>
      <c r="V47" s="5"/>
      <c r="W47" s="5"/>
      <c r="X47" s="5"/>
    </row>
    <row r="48" spans="1:24" x14ac:dyDescent="0.3">
      <c r="A48" s="5"/>
      <c r="B48" s="5"/>
      <c r="C48" s="5"/>
      <c r="D48" s="5"/>
      <c r="E48" s="5"/>
      <c r="F48" s="5"/>
      <c r="G48" s="5"/>
      <c r="H48" s="5"/>
      <c r="I48" s="5"/>
      <c r="J48" s="5"/>
      <c r="K48" s="5"/>
      <c r="L48" s="5"/>
      <c r="M48" s="5"/>
      <c r="N48" s="5"/>
      <c r="O48" s="5"/>
      <c r="P48" s="5"/>
      <c r="Q48" s="5"/>
      <c r="R48" s="5"/>
      <c r="S48" s="5"/>
      <c r="T48" s="5"/>
      <c r="U48" s="5"/>
      <c r="V48" s="5"/>
      <c r="W48" s="5"/>
      <c r="X48" s="5"/>
    </row>
    <row r="49" spans="1:24" x14ac:dyDescent="0.3">
      <c r="A49" s="5"/>
      <c r="B49" s="5"/>
      <c r="C49" s="5"/>
      <c r="D49" s="5"/>
      <c r="E49" s="5"/>
      <c r="F49" s="5"/>
      <c r="G49" s="5"/>
      <c r="H49" s="5"/>
      <c r="I49" s="5"/>
      <c r="J49" s="5"/>
      <c r="K49" s="5"/>
      <c r="L49" s="5"/>
      <c r="M49" s="5"/>
      <c r="N49" s="5"/>
      <c r="O49" s="5"/>
      <c r="P49" s="5"/>
      <c r="Q49" s="5"/>
      <c r="R49" s="5"/>
      <c r="S49" s="5"/>
      <c r="T49" s="5"/>
      <c r="U49" s="5"/>
      <c r="V49" s="5"/>
      <c r="W49" s="5"/>
      <c r="X49" s="5"/>
    </row>
    <row r="50" spans="1:24" x14ac:dyDescent="0.3">
      <c r="A50" s="5"/>
      <c r="B50" s="5"/>
      <c r="C50" s="5"/>
      <c r="D50" s="5"/>
      <c r="E50" s="5"/>
      <c r="F50" s="5"/>
      <c r="G50" s="5"/>
      <c r="H50" s="5"/>
      <c r="I50" s="5"/>
      <c r="J50" s="5"/>
      <c r="K50" s="5"/>
      <c r="L50" s="5"/>
      <c r="M50" s="5"/>
      <c r="N50" s="5"/>
      <c r="O50" s="5"/>
      <c r="P50" s="5"/>
      <c r="Q50" s="5"/>
      <c r="R50" s="5"/>
      <c r="S50" s="5"/>
      <c r="T50" s="5"/>
      <c r="U50" s="5"/>
      <c r="V50" s="5"/>
      <c r="W50" s="5"/>
      <c r="X50"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B5C6D-3E45-49BB-88D8-70FB2A0B4779}">
  <dimension ref="A1"/>
  <sheetViews>
    <sheetView topLeftCell="A2" workbookViewId="0">
      <selection activeCell="E22" sqref="E21:E22"/>
    </sheetView>
  </sheetViews>
  <sheetFormatPr defaultColWidth="8.796875" defaultRowHeight="15.6" x14ac:dyDescent="0.3"/>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A48F9-B964-4BC3-9C58-BA74FD1D055B}">
  <dimension ref="A1"/>
  <sheetViews>
    <sheetView zoomScale="85" zoomScaleNormal="85" workbookViewId="0">
      <selection activeCell="W16" sqref="W16"/>
    </sheetView>
  </sheetViews>
  <sheetFormatPr defaultColWidth="8.796875" defaultRowHeight="15.6" x14ac:dyDescent="0.3"/>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81B4-8441-4306-BEA4-4A860BA393B0}">
  <dimension ref="A1"/>
  <sheetViews>
    <sheetView zoomScale="85" zoomScaleNormal="85" workbookViewId="0">
      <selection activeCell="X8" sqref="X8"/>
    </sheetView>
  </sheetViews>
  <sheetFormatPr defaultColWidth="8.796875" defaultRowHeight="15.6" x14ac:dyDescent="0.3"/>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EACB-EB4A-48A1-BF1F-4466B4F4CBD6}">
  <dimension ref="A1"/>
  <sheetViews>
    <sheetView zoomScale="85" zoomScaleNormal="85" workbookViewId="0">
      <selection activeCell="H44" sqref="H44"/>
    </sheetView>
  </sheetViews>
  <sheetFormatPr defaultColWidth="8.796875" defaultRowHeight="15.6" x14ac:dyDescent="0.3"/>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D212-A267-4582-A5EF-A32E798FA347}">
  <dimension ref="A1"/>
  <sheetViews>
    <sheetView zoomScale="85" zoomScaleNormal="85" workbookViewId="0">
      <selection activeCell="B27" sqref="B27"/>
    </sheetView>
  </sheetViews>
  <sheetFormatPr defaultColWidth="8.796875" defaultRowHeight="15.6" x14ac:dyDescent="0.3"/>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Sheet1</vt:lpstr>
      <vt:lpstr>Data</vt:lpstr>
      <vt:lpstr>KPI</vt:lpstr>
      <vt:lpstr>Rating</vt:lpstr>
      <vt:lpstr>Employee by Gender</vt:lpstr>
      <vt:lpstr>Education-wise Attrition</vt:lpstr>
      <vt:lpstr>Attrition By Job Role</vt:lpstr>
      <vt:lpstr>Department-wise Attrition</vt:lpstr>
      <vt:lpstr>Attrition By Age-Group</vt:lpstr>
      <vt:lpstr>Attrition By Marriage Status</vt:lpstr>
      <vt:lpstr>Dashboard</vt:lpstr>
      <vt:lpstr>Images</vt:lpstr>
      <vt:lpstr>Background 1</vt:lpstr>
      <vt:lpstr>Background 2</vt:lpstr>
      <vt:lpstr>Background 3</vt:lpstr>
      <vt:lpstr>Background 4</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AMAN THAKUR</cp:lastModifiedBy>
  <cp:lastPrinted>2026-04-09T15:07:10Z</cp:lastPrinted>
  <dcterms:created xsi:type="dcterms:W3CDTF">2022-12-29T16:02:46Z</dcterms:created>
  <dcterms:modified xsi:type="dcterms:W3CDTF">2026-04-09T15:10:14Z</dcterms:modified>
</cp:coreProperties>
</file>